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1c344b3b3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4b4df2487a5a479e"/>
    <x:sheet xmlns:r="http://schemas.openxmlformats.org/officeDocument/2006/relationships" name="Dashboard" sheetId="2" r:id="R32de8592717a4986"/>
    <x:sheet xmlns:r="http://schemas.openxmlformats.org/officeDocument/2006/relationships" name="Test Data" sheetId="3" r:id="R95103955983e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1506F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54A6"/>
      </x:patternFill>
    </x:fill>
    <x:fill>
      <x:patternFill patternType="solid">
        <x:fgColor rgb="FFDDEEFF"/>
      </x:patternFill>
    </x:fill>
    <x:fill>
      <x:patternFill patternType="solid">
        <x:fgColor rgb="FF17365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308e1598b4900" /><Relationship Type="http://schemas.openxmlformats.org/officeDocument/2006/relationships/theme" Target="/xl/theme/theme1.xml" Id="R71392f7b187d4c4c" /><Relationship Type="http://schemas.openxmlformats.org/officeDocument/2006/relationships/sharedStrings" Target="/xl/sharedStrings.xml" Id="Raf9485d28ecf412c" /><Relationship Type="http://schemas.openxmlformats.org/officeDocument/2006/relationships/worksheet" Target="/xl/worksheets/sheet1.xml" Id="R4b4df2487a5a479e" /><Relationship Type="http://schemas.openxmlformats.org/officeDocument/2006/relationships/worksheet" Target="/xl/worksheets/sheet2.xml" Id="R32de8592717a4986" /><Relationship Type="http://schemas.openxmlformats.org/officeDocument/2006/relationships/worksheet" Target="/xl/worksheets/sheet3.xml" Id="R95103955983e4a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7fc0fbd59a49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Execution by Module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'Dashboard'!$A$12:$A$21</c:f>
              <c:strCache>
                <c:ptCount val="0"/>
              </c:strCache>
            </c:strRef>
          </c:cat>
          <c:val>
            <c:numRef>
              <c:f>'Dashboard'!$B$12:$B$21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Passed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'Dashboard'!$A$12:$A$21</c:f>
              <c:strCache>
                <c:ptCount val="0"/>
              </c:strCache>
            </c:strRef>
          </c:cat>
          <c:val>
            <c:numRef>
              <c:f>'Dashboard'!$C$12:$C$21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Failed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'Dashboard'!$A$12:$A$21</c:f>
              <c:strCache>
                <c:ptCount val="0"/>
              </c:strCache>
            </c:strRef>
          </c:cat>
          <c:val>
            <c:numRef>
              <c:f>'Dashboard'!$D$12:$D$21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7fc0fbd59a498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okingTestCases" displayName="BookingTestCases" ref="A4:O73" headerRowCount="1">
  <x:autoFilter ref="A4:O73"/>
  <x:tableColumns count="15">
    <x:tableColumn id="1" name="TC ID"/>
    <x:tableColumn id="2" name="Module"/>
    <x:tableColumn id="3" name="Requirement"/>
    <x:tableColumn id="4" name="Test Case"/>
    <x:tableColumn id="5" name="Preconditions"/>
    <x:tableColumn id="6" name="Test Data"/>
    <x:tableColumn id="7" name="Test Steps"/>
    <x:tableColumn id="8" name="Expected Result"/>
    <x:tableColumn id="9" name="Priority"/>
    <x:tableColumn id="10" name="Type"/>
    <x:tableColumn id="11" name="Status"/>
    <x:tableColumn id="12" name="Actual Result"/>
    <x:tableColumn id="13" name="Tester"/>
    <x:tableColumn id="14" name="Execution Date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ookingTestData" displayName="BookingTestData" ref="A3:F16" headerRowCount="1">
  <x:tableColumns count="6">
    <x:tableColumn id="1" name="Category"/>
    <x:tableColumn id="2" name="Name"/>
    <x:tableColumn id="3" name="Value"/>
    <x:tableColumn id="4" name="Purpose"/>
    <x:tableColumn id="5" name="Expected State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332cd6087142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36633faf3d844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412f4778ca4f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7" hidden="0" customWidth="1"/>
    <x:col min="4" max="4" width="31" hidden="0" customWidth="1"/>
    <x:col min="5" max="5" width="28" hidden="0" customWidth="1"/>
    <x:col min="6" max="6" width="25" hidden="0" customWidth="1"/>
    <x:col min="7" max="7" width="32" hidden="0" customWidth="1"/>
    <x:col min="8" max="8" width="36" hidden="0" customWidth="1"/>
    <x:col min="9" max="9" width="10" hidden="0" customWidth="1"/>
    <x:col min="10" max="10" width="15" hidden="0" customWidth="1"/>
    <x:col min="11" max="11" width="12" hidden="0" customWidth="1"/>
    <x:col min="12" max="12" width="30" hidden="0" customWidth="1"/>
    <x:col min="13" max="13" width="16" hidden="0" customWidth="1"/>
    <x:col min="14" max="14" width="15" hidden="0" customWidth="1"/>
    <x:col min="15" max="15" width="25" hidden="0" customWidth="1"/>
  </x:cols>
  <x:sheetData>
    <x:row r="1">
      <x:c r="A1" s="4" t="str">
        <x:v>CUSTOMER BOOKING – END-TO-END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7" t="str">
        <x:v>Select Showtime → Seats → Combo → Summary → Payment → E-ticket | localhost:8083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>
      <x:c r="A4" s="10" t="str">
        <x:v>TC ID</x:v>
      </x:c>
      <x:c r="B4" s="10" t="str">
        <x:v>Module</x:v>
      </x:c>
      <x:c r="C4" s="10" t="str">
        <x:v>Requirement</x:v>
      </x:c>
      <x:c r="D4" s="10" t="str">
        <x:v>Test Case</x:v>
      </x:c>
      <x:c r="E4" s="10" t="str">
        <x:v>Preconditions</x:v>
      </x:c>
      <x:c r="F4" s="10" t="str">
        <x:v>Test Data</x:v>
      </x:c>
      <x:c r="G4" s="10" t="str">
        <x:v>Test Steps</x:v>
      </x:c>
      <x:c r="H4" s="10" t="str">
        <x:v>Expected Result</x:v>
      </x:c>
      <x:c r="I4" s="10" t="str">
        <x:v>Priority</x:v>
      </x:c>
      <x:c r="J4" s="10" t="str">
        <x:v>Type</x:v>
      </x:c>
      <x:c r="K4" s="10" t="str">
        <x:v>Status</x:v>
      </x:c>
      <x:c r="L4" s="10" t="str">
        <x:v>Actual Result</x:v>
      </x:c>
      <x:c r="M4" s="10" t="str">
        <x:v>Tester</x:v>
      </x:c>
      <x:c r="N4" s="10" t="str">
        <x:v>Execution Date</x:v>
      </x:c>
      <x:c r="O4" s="10" t="str">
        <x:v>Notes</x:v>
      </x:c>
    </x:row>
    <x:row r="5">
      <x:c r="A5" s="1" t="str">
        <x:v>AUTH-01</x:v>
      </x:c>
      <x:c r="B5" s="1" t="str">
        <x:v>Authentication</x:v>
      </x:c>
      <x:c r="C5" s="1" t="str">
        <x:v>Precondition</x:v>
      </x:c>
      <x:c r="D5" s="1" t="str">
        <x:v>Khách chưa đăng nhập bấm Mua vé</x:v>
      </x:c>
      <x:c r="E5" s="1" t="str">
        <x:v>Chưa đăng nhập</x:v>
      </x:c>
      <x:c r="F5" s="1" t="str">
        <x:v>Movie đang chiếu</x:v>
      </x:c>
      <x:c r="G5" s="1" t="str">
        <x:v>Mở phim; bấm Mua vé</x:v>
      </x:c>
      <x:c r="H5" s="1" t="str">
        <x:v>Chuyển Login và lưu URL booking</x:v>
      </x:c>
      <x:c r="I5" s="1" t="str">
        <x:v>P0</x:v>
      </x:c>
      <x:c r="J5" s="1" t="str">
        <x:v>Functional</x:v>
      </x:c>
      <x:c r="K5" s="1" t="str">
        <x:v>Not Run</x:v>
      </x:c>
      <x:c r="L5" s="1" t="str"/>
      <x:c r="M5" s="1" t="str"/>
      <x:c r="N5" s="11" t="str"/>
      <x:c r="O5" s="1" t="str"/>
    </x:row>
    <x:row r="6">
      <x:c r="A6" s="1" t="str">
        <x:v>AUTH-02</x:v>
      </x:c>
      <x:c r="B6" s="1" t="str">
        <x:v>Authentication</x:v>
      </x:c>
      <x:c r="C6" s="1" t="str">
        <x:v>Precondition</x:v>
      </x:c>
      <x:c r="D6" s="1" t="str">
        <x:v>Đăng nhập quay lại booking</x:v>
      </x:c>
      <x:c r="E6" s="1" t="str">
        <x:v>Đã chạy AUTH-01</x:v>
      </x:c>
      <x:c r="F6" s="1" t="str">
        <x:v>gold@test.local / Test@123</x:v>
      </x:c>
      <x:c r="G6" s="1" t="str">
        <x:v>Đăng nhập hợp lệ</x:v>
      </x:c>
      <x:c r="H6" s="1" t="str">
        <x:v>Mở đúng Select Showtime của phim đã chọn</x:v>
      </x:c>
      <x:c r="I6" s="1" t="str">
        <x:v>P0</x:v>
      </x:c>
      <x:c r="J6" s="1" t="str">
        <x:v>Functional</x:v>
      </x:c>
      <x:c r="K6" s="1" t="str">
        <x:v>Not Run</x:v>
      </x:c>
      <x:c r="L6" s="1" t="str"/>
      <x:c r="M6" s="1" t="str"/>
      <x:c r="N6" s="11" t="str"/>
      <x:c r="O6" s="1" t="str"/>
    </x:row>
    <x:row r="7">
      <x:c r="A7" s="1" t="str">
        <x:v>AUTH-03</x:v>
      </x:c>
      <x:c r="B7" s="1" t="str">
        <x:v>Authentication</x:v>
      </x:c>
      <x:c r="C7" s="1" t="str">
        <x:v>Validation</x:v>
      </x:c>
      <x:c r="D7" s="1" t="str">
        <x:v>Sai mật khẩu</x:v>
      </x:c>
      <x:c r="E7" s="1" t="str">
        <x:v>Có account test</x:v>
      </x:c>
      <x:c r="F7" s="1" t="str">
        <x:v>WrongPass</x:v>
      </x:c>
      <x:c r="G7" s="1" t="str">
        <x:v>Đăng nhập</x:v>
      </x:c>
      <x:c r="H7" s="1" t="str">
        <x:v>Báo lỗi; không tạo session</x:v>
      </x:c>
      <x:c r="I7" s="1" t="str">
        <x:v>P1</x:v>
      </x:c>
      <x:c r="J7" s="1" t="str">
        <x:v>Negative</x:v>
      </x:c>
      <x:c r="K7" s="1" t="str">
        <x:v>Not Run</x:v>
      </x:c>
      <x:c r="L7" s="1" t="str"/>
      <x:c r="M7" s="1" t="str"/>
      <x:c r="N7" s="11" t="str"/>
      <x:c r="O7" s="1" t="str"/>
    </x:row>
    <x:row r="8">
      <x:c r="A8" s="1" t="str">
        <x:v>AUTH-04</x:v>
      </x:c>
      <x:c r="B8" s="1" t="str">
        <x:v>Authentication</x:v>
      </x:c>
      <x:c r="C8" s="1" t="str">
        <x:v>Authorization</x:v>
      </x:c>
      <x:c r="D8" s="1" t="str">
        <x:v>Tài khoản bị khóa</x:v>
      </x:c>
      <x:c r="E8" s="1" t="str">
        <x:v>Có locked account</x:v>
      </x:c>
      <x:c r="F8" s="1" t="str">
        <x:v>locked@test.local / Test@123</x:v>
      </x:c>
      <x:c r="G8" s="1" t="str">
        <x:v>Đăng nhập</x:v>
      </x:c>
      <x:c r="H8" s="1" t="str">
        <x:v>Từ chối và báo tài khoản bị khóa</x:v>
      </x:c>
      <x:c r="I8" s="1" t="str">
        <x:v>P1</x:v>
      </x:c>
      <x:c r="J8" s="1" t="str">
        <x:v>Negative</x:v>
      </x:c>
      <x:c r="K8" s="1" t="str">
        <x:v>Not Run</x:v>
      </x:c>
      <x:c r="L8" s="1" t="str"/>
      <x:c r="M8" s="1" t="str"/>
      <x:c r="N8" s="11" t="str"/>
      <x:c r="O8" s="1" t="str"/>
    </x:row>
    <x:row r="9">
      <x:c r="A9" s="1" t="str">
        <x:v>AUTH-05</x:v>
      </x:c>
      <x:c r="B9" s="1" t="str">
        <x:v>Authentication</x:v>
      </x:c>
      <x:c r="C9" s="1" t="str">
        <x:v>Authorization</x:v>
      </x:c>
      <x:c r="D9" s="1" t="str">
        <x:v>Truy cập booking không session</x:v>
      </x:c>
      <x:c r="E9" s="1" t="str">
        <x:v>Chưa đăng nhập</x:v>
      </x:c>
      <x:c r="F9" s="1" t="str">
        <x:v>GET /booking/seats</x:v>
      </x:c>
      <x:c r="G9" s="1" t="str">
        <x:v>Gọi URL trực tiếp</x:v>
      </x:c>
      <x:c r="H9" s="1" t="str">
        <x:v>Chuyển Login; không lộ dữ liệu</x:v>
      </x:c>
      <x:c r="I9" s="1" t="str">
        <x:v>P0</x:v>
      </x:c>
      <x:c r="J9" s="1" t="str">
        <x:v>Security</x:v>
      </x:c>
      <x:c r="K9" s="1" t="str">
        <x:v>Not Run</x:v>
      </x:c>
      <x:c r="L9" s="1" t="str"/>
      <x:c r="M9" s="1" t="str"/>
      <x:c r="N9" s="11" t="str"/>
      <x:c r="O9" s="1" t="str"/>
    </x:row>
    <x:row r="10">
      <x:c r="A10" s="1" t="str">
        <x:v>ST-01</x:v>
      </x:c>
      <x:c r="B10" s="1" t="str">
        <x:v>Select Showtime</x:v>
      </x:c>
      <x:c r="C10" s="1" t="str">
        <x:v>UC-C03</x:v>
      </x:c>
      <x:c r="D10" s="1" t="str">
        <x:v>Mở mua vé phim đang chiếu</x:v>
      </x:c>
      <x:c r="E10" s="1" t="str">
        <x:v>Đã đăng nhập</x:v>
      </x:c>
      <x:c r="F10" s="1" t="str">
        <x:v>movieId=3</x:v>
      </x:c>
      <x:c r="G10" s="1" t="str">
        <x:v>Bấm Mua vé</x:v>
      </x:c>
      <x:c r="H10" s="1" t="str">
        <x:v>Hiện phim, ngày và suất tương lai</x:v>
      </x:c>
      <x:c r="I10" s="1" t="str">
        <x:v>P0</x:v>
      </x:c>
      <x:c r="J10" s="1" t="str">
        <x:v>Functional</x:v>
      </x:c>
      <x:c r="K10" s="1" t="str">
        <x:v>Not Run</x:v>
      </x:c>
      <x:c r="L10" s="1" t="str"/>
      <x:c r="M10" s="1" t="str"/>
      <x:c r="N10" s="11" t="str"/>
      <x:c r="O10" s="1" t="str"/>
    </x:row>
    <x:row r="11">
      <x:c r="A11" s="1" t="str">
        <x:v>ST-02</x:v>
      </x:c>
      <x:c r="B11" s="1" t="str">
        <x:v>Select Showtime</x:v>
      </x:c>
      <x:c r="C11" s="1" t="str">
        <x:v>Filter</x:v>
      </x:c>
      <x:c r="D11" s="1" t="str">
        <x:v>Lọc suất theo ngày</x:v>
      </x:c>
      <x:c r="E11" s="1" t="str">
        <x:v>Có nhiều suất</x:v>
      </x:c>
      <x:c r="F11" s="1" t="str">
        <x:v>Ngày có lịch</x:v>
      </x:c>
      <x:c r="G11" s="1" t="str">
        <x:v>Đổi ngày; tìm suất</x:v>
      </x:c>
      <x:c r="H11" s="1" t="str">
        <x:v>Chỉ hiện đúng phim và ngày</x:v>
      </x:c>
      <x:c r="I11" s="1" t="str">
        <x:v>P0</x:v>
      </x:c>
      <x:c r="J11" s="1" t="str">
        <x:v>Functional</x:v>
      </x:c>
      <x:c r="K11" s="1" t="str">
        <x:v>Not Run</x:v>
      </x:c>
      <x:c r="L11" s="1" t="str"/>
      <x:c r="M11" s="1" t="str"/>
      <x:c r="N11" s="11" t="str"/>
      <x:c r="O11" s="1" t="str"/>
    </x:row>
    <x:row r="12">
      <x:c r="A12" s="1" t="str">
        <x:v>ST-03</x:v>
      </x:c>
      <x:c r="B12" s="1" t="str">
        <x:v>Select Showtime</x:v>
      </x:c>
      <x:c r="C12" s="1" t="str">
        <x:v>A1</x:v>
      </x:c>
      <x:c r="D12" s="1" t="str">
        <x:v>Ngày không có suất</x:v>
      </x:c>
      <x:c r="E12" s="1" t="str">
        <x:v>Phim hợp lệ</x:v>
      </x:c>
      <x:c r="F12" s="1" t="str">
        <x:v>Ngày không lịch</x:v>
      </x:c>
      <x:c r="G12" s="1" t="str">
        <x:v>Tìm suất</x:v>
      </x:c>
      <x:c r="H12" s="1" t="str">
        <x:v>Empty state; không lỗi hệ thống</x:v>
      </x:c>
      <x:c r="I12" s="1" t="str">
        <x:v>P1</x:v>
      </x:c>
      <x:c r="J12" s="1" t="str">
        <x:v>Negative</x:v>
      </x:c>
      <x:c r="K12" s="1" t="str">
        <x:v>Not Run</x:v>
      </x:c>
      <x:c r="L12" s="1" t="str"/>
      <x:c r="M12" s="1" t="str"/>
      <x:c r="N12" s="11" t="str"/>
      <x:c r="O12" s="1" t="str"/>
    </x:row>
    <x:row r="13">
      <x:c r="A13" s="1" t="str">
        <x:v>ST-04</x:v>
      </x:c>
      <x:c r="B13" s="1" t="str">
        <x:v>Select Showtime</x:v>
      </x:c>
      <x:c r="C13" s="1" t="str">
        <x:v>BR future</x:v>
      </x:c>
      <x:c r="D13" s="1" t="str">
        <x:v>Chọn ngày quá khứ</x:v>
      </x:c>
      <x:c r="E13" s="1" t="str">
        <x:v>Đã đăng nhập</x:v>
      </x:c>
      <x:c r="F13" s="1" t="str">
        <x:v>date=hôm qua</x:v>
      </x:c>
      <x:c r="G13" s="1" t="str">
        <x:v>Gửi request</x:v>
      </x:c>
      <x:c r="H13" s="1" t="str">
        <x:v>Từ chối ngày không hợp lệ</x:v>
      </x:c>
      <x:c r="I13" s="1" t="str">
        <x:v>P0</x:v>
      </x:c>
      <x:c r="J13" s="1" t="str">
        <x:v>Negative</x:v>
      </x:c>
      <x:c r="K13" s="1" t="str">
        <x:v>Not Run</x:v>
      </x:c>
      <x:c r="L13" s="1" t="str"/>
      <x:c r="M13" s="1" t="str"/>
      <x:c r="N13" s="11" t="str"/>
      <x:c r="O13" s="1" t="str"/>
    </x:row>
    <x:row r="14">
      <x:c r="A14" s="1" t="str">
        <x:v>ST-05</x:v>
      </x:c>
      <x:c r="B14" s="1" t="str">
        <x:v>Select Showtime</x:v>
      </x:c>
      <x:c r="C14" s="1" t="str">
        <x:v>A2</x:v>
      </x:c>
      <x:c r="D14" s="1" t="str">
        <x:v>Suất đã bắt đầu</x:v>
      </x:c>
      <x:c r="E14" s="1" t="str">
        <x:v>Có suất quá khứ</x:v>
      </x:c>
      <x:c r="F14" s="1" t="str">
        <x:v>showtimeId quá khứ</x:v>
      </x:c>
      <x:c r="G14" s="1" t="str">
        <x:v>POST chọn suất</x:v>
      </x:c>
      <x:c r="H14" s="1" t="str">
        <x:v>Từ chối; yêu cầu chọn suất khác</x:v>
      </x:c>
      <x:c r="I14" s="1" t="str">
        <x:v>P0</x:v>
      </x:c>
      <x:c r="J14" s="1" t="str">
        <x:v>Negative</x:v>
      </x:c>
      <x:c r="K14" s="1" t="str">
        <x:v>Not Run</x:v>
      </x:c>
      <x:c r="L14" s="1" t="str"/>
      <x:c r="M14" s="1" t="str"/>
      <x:c r="N14" s="11" t="str"/>
      <x:c r="O14" s="1" t="str"/>
    </x:row>
    <x:row r="15">
      <x:c r="A15" s="1" t="str">
        <x:v>ST-06</x:v>
      </x:c>
      <x:c r="B15" s="1" t="str">
        <x:v>Select Showtime</x:v>
      </x:c>
      <x:c r="C15" s="1" t="str">
        <x:v>A3</x:v>
      </x:c>
      <x:c r="D15" s="1" t="str">
        <x:v>Sai movieId/showtimeId</x:v>
      </x:c>
      <x:c r="E15" s="1" t="str">
        <x:v>Suất thuộc phim khác</x:v>
      </x:c>
      <x:c r="F15" s="1" t="str">
        <x:v>movieId A + showtimeId B</x:v>
      </x:c>
      <x:c r="G15" s="1" t="str">
        <x:v>POST chọn suất</x:v>
      </x:c>
      <x:c r="H15" s="1" t="str">
        <x:v>Từ chối do không khớp</x:v>
      </x:c>
      <x:c r="I15" s="1" t="str">
        <x:v>P0</x:v>
      </x:c>
      <x:c r="J15" s="1" t="str">
        <x:v>Security</x:v>
      </x:c>
      <x:c r="K15" s="1" t="str">
        <x:v>Not Run</x:v>
      </x:c>
      <x:c r="L15" s="1" t="str"/>
      <x:c r="M15" s="1" t="str"/>
      <x:c r="N15" s="11" t="str"/>
      <x:c r="O15" s="1" t="str"/>
    </x:row>
    <x:row r="16">
      <x:c r="A16" s="1" t="str">
        <x:v>ST-07</x:v>
      </x:c>
      <x:c r="B16" s="1" t="str">
        <x:v>Select Showtime</x:v>
      </x:c>
      <x:c r="C16" s="1" t="str">
        <x:v>BR active</x:v>
      </x:c>
      <x:c r="D16" s="1" t="str">
        <x:v>Phim inactive</x:v>
      </x:c>
      <x:c r="E16" s="1" t="str">
        <x:v>Có active=false</x:v>
      </x:c>
      <x:c r="F16" s="1" t="str">
        <x:v>movieId inactive</x:v>
      </x:c>
      <x:c r="G16" s="1" t="str">
        <x:v>Mở URL booking</x:v>
      </x:c>
      <x:c r="H16" s="1" t="str">
        <x:v>Không cho đặt</x:v>
      </x:c>
      <x:c r="I16" s="1" t="str">
        <x:v>P1</x:v>
      </x:c>
      <x:c r="J16" s="1" t="str">
        <x:v>Negative</x:v>
      </x:c>
      <x:c r="K16" s="1" t="str">
        <x:v>Not Run</x:v>
      </x:c>
      <x:c r="L16" s="1" t="str"/>
      <x:c r="M16" s="1" t="str"/>
      <x:c r="N16" s="11" t="str"/>
      <x:c r="O16" s="1" t="str"/>
    </x:row>
    <x:row r="17">
      <x:c r="A17" s="1" t="str">
        <x:v>ST-08</x:v>
      </x:c>
      <x:c r="B17" s="1" t="str">
        <x:v>Select Showtime</x:v>
      </x:c>
      <x:c r="C17" s="1" t="str">
        <x:v>BR status</x:v>
      </x:c>
      <x:c r="D17" s="1" t="str">
        <x:v>Phim sắp chiếu</x:v>
      </x:c>
      <x:c r="E17" s="1" t="str">
        <x:v>Có COMING_SOON</x:v>
      </x:c>
      <x:c r="F17" s="1" t="str">
        <x:v>movieId coming soon</x:v>
      </x:c>
      <x:c r="G17" s="1" t="str">
        <x:v>Mở URL booking</x:v>
      </x:c>
      <x:c r="H17" s="1" t="str">
        <x:v>Không mở bán; UI chỉ Chi tiết</x:v>
      </x:c>
      <x:c r="I17" s="1" t="str">
        <x:v>P1</x:v>
      </x:c>
      <x:c r="J17" s="1" t="str">
        <x:v>Negative</x:v>
      </x:c>
      <x:c r="K17" s="1" t="str">
        <x:v>Not Run</x:v>
      </x:c>
      <x:c r="L17" s="1" t="str"/>
      <x:c r="M17" s="1" t="str"/>
      <x:c r="N17" s="11" t="str"/>
      <x:c r="O17" s="1" t="str"/>
    </x:row>
    <x:row r="18">
      <x:c r="A18" s="1" t="str">
        <x:v>ST-09</x:v>
      </x:c>
      <x:c r="B18" s="1" t="str">
        <x:v>Select Showtime</x:v>
      </x:c>
      <x:c r="C18" s="1" t="str">
        <x:v>Seat count</x:v>
      </x:c>
      <x:c r="D18" s="1" t="str">
        <x:v>Số ghế còn lại</x:v>
      </x:c>
      <x:c r="E18" s="1" t="str">
        <x:v>Có BOOKED/HOLDING</x:v>
      </x:c>
      <x:c r="F18" s="1" t="str">
        <x:v>1 booked + 1 holding</x:v>
      </x:c>
      <x:c r="G18" s="1" t="str">
        <x:v>Mở danh sách suất</x:v>
      </x:c>
      <x:c r="H18" s="1" t="str">
        <x:v>Đã trừ ghế booked/hold còn hạn</x:v>
      </x:c>
      <x:c r="I18" s="1" t="str">
        <x:v>P0</x:v>
      </x:c>
      <x:c r="J18" s="1" t="str">
        <x:v>Integration</x:v>
      </x:c>
      <x:c r="K18" s="1" t="str">
        <x:v>Not Run</x:v>
      </x:c>
      <x:c r="L18" s="1" t="str"/>
      <x:c r="M18" s="1" t="str"/>
      <x:c r="N18" s="11" t="str"/>
      <x:c r="O18" s="1" t="str"/>
    </x:row>
    <x:row r="19">
      <x:c r="A19" s="1" t="str">
        <x:v>ST-10</x:v>
      </x:c>
      <x:c r="B19" s="1" t="str">
        <x:v>Select Showtime</x:v>
      </x:c>
      <x:c r="C19" s="1" t="str">
        <x:v>Normal flow</x:v>
      </x:c>
      <x:c r="D19" s="1" t="str">
        <x:v>Chọn suất hợp lệ</x:v>
      </x:c>
      <x:c r="E19" s="1" t="str">
        <x:v>Suất tương lai còn ghế</x:v>
      </x:c>
      <x:c r="F19" s="1" t="str">
        <x:v>showtime hợp lệ</x:v>
      </x:c>
      <x:c r="G19" s="1" t="str">
        <x:v>Bấm Chọn</x:v>
      </x:c>
      <x:c r="H19" s="1" t="str">
        <x:v>Lưu session; mở seat map</x:v>
      </x:c>
      <x:c r="I19" s="1" t="str">
        <x:v>P0</x:v>
      </x:c>
      <x:c r="J19" s="1" t="str">
        <x:v>Functional</x:v>
      </x:c>
      <x:c r="K19" s="1" t="str">
        <x:v>Not Run</x:v>
      </x:c>
      <x:c r="L19" s="1" t="str"/>
      <x:c r="M19" s="1" t="str"/>
      <x:c r="N19" s="11" t="str"/>
      <x:c r="O19" s="1" t="str"/>
    </x:row>
    <x:row r="20">
      <x:c r="A20" s="1" t="str">
        <x:v>SEAT-01</x:v>
      </x:c>
      <x:c r="B20" s="1" t="str">
        <x:v>Seat Selection</x:v>
      </x:c>
      <x:c r="C20" s="1" t="str">
        <x:v>UC-C04</x:v>
      </x:c>
      <x:c r="D20" s="1" t="str">
        <x:v>Tải sơ đồ ghế</x:v>
      </x:c>
      <x:c r="E20" s="1" t="str">
        <x:v>Đã chọn suất</x:v>
      </x:c>
      <x:c r="F20" s="1" t="str">
        <x:v>Room có layout</x:v>
      </x:c>
      <x:c r="G20" s="1" t="str">
        <x:v>Mở /booking/seats</x:v>
      </x:c>
      <x:c r="H20" s="1" t="str">
        <x:v>Đúng hàng/cột/nhãn/loại</x:v>
      </x:c>
      <x:c r="I20" s="1" t="str">
        <x:v>P0</x:v>
      </x:c>
      <x:c r="J20" s="1" t="str">
        <x:v>Functional</x:v>
      </x:c>
      <x:c r="K20" s="1" t="str">
        <x:v>Not Run</x:v>
      </x:c>
      <x:c r="L20" s="1" t="str"/>
      <x:c r="M20" s="1" t="str"/>
      <x:c r="N20" s="11" t="str"/>
      <x:c r="O20" s="1" t="str"/>
    </x:row>
    <x:row r="21">
      <x:c r="A21" s="1" t="str">
        <x:v>SEAT-02</x:v>
      </x:c>
      <x:c r="B21" s="1" t="str">
        <x:v>Seat Selection</x:v>
      </x:c>
      <x:c r="C21" s="1" t="str">
        <x:v>Status</x:v>
      </x:c>
      <x:c r="D21" s="1" t="str">
        <x:v>Ghế trống</x:v>
      </x:c>
      <x:c r="E21" s="1" t="str">
        <x:v>Seat chưa có ticket</x:v>
      </x:c>
      <x:c r="F21" s="1" t="str">
        <x:v>std/vip/couple</x:v>
      </x:c>
      <x:c r="G21" s="1" t="str">
        <x:v>Quan sát map</x:v>
      </x:c>
      <x:c r="H21" s="1" t="str">
        <x:v>AVAILABLE và chọn được</x:v>
      </x:c>
      <x:c r="I21" s="1" t="str">
        <x:v>P1</x:v>
      </x:c>
      <x:c r="J21" s="1" t="str">
        <x:v>UI</x:v>
      </x:c>
      <x:c r="K21" s="1" t="str">
        <x:v>Not Run</x:v>
      </x:c>
      <x:c r="L21" s="1" t="str"/>
      <x:c r="M21" s="1" t="str"/>
      <x:c r="N21" s="11" t="str"/>
      <x:c r="O21" s="1" t="str"/>
    </x:row>
    <x:row r="22">
      <x:c r="A22" s="1" t="str">
        <x:v>SEAT-03</x:v>
      </x:c>
      <x:c r="B22" s="1" t="str">
        <x:v>Seat Selection</x:v>
      </x:c>
      <x:c r="C22" s="1" t="str">
        <x:v>Status</x:v>
      </x:c>
      <x:c r="D22" s="1" t="str">
        <x:v>Ghế đã bán</x:v>
      </x:c>
      <x:c r="E22" s="1" t="str">
        <x:v>Có BOOKED</x:v>
      </x:c>
      <x:c r="F22" s="1" t="str">
        <x:v>1 seat booked</x:v>
      </x:c>
      <x:c r="G22" s="1" t="str">
        <x:v>Quan sát map</x:v>
      </x:c>
      <x:c r="H22" s="1" t="str">
        <x:v>Khóa; không có checkbox</x:v>
      </x:c>
      <x:c r="I22" s="1" t="str">
        <x:v>P0</x:v>
      </x:c>
      <x:c r="J22" s="1" t="str">
        <x:v>UI</x:v>
      </x:c>
      <x:c r="K22" s="1" t="str">
        <x:v>Not Run</x:v>
      </x:c>
      <x:c r="L22" s="1" t="str"/>
      <x:c r="M22" s="1" t="str"/>
      <x:c r="N22" s="11" t="str"/>
      <x:c r="O22" s="1" t="str"/>
    </x:row>
    <x:row r="23">
      <x:c r="A23" s="1" t="str">
        <x:v>SEAT-04</x:v>
      </x:c>
      <x:c r="B23" s="1" t="str">
        <x:v>Seat Selection</x:v>
      </x:c>
      <x:c r="C23" s="1" t="str">
        <x:v>Status</x:v>
      </x:c>
      <x:c r="D23" s="1" t="str">
        <x:v>Ghế người khác đang giữ</x:v>
      </x:c>
      <x:c r="E23" s="1" t="str">
        <x:v>Session A đã hold</x:v>
      </x:c>
      <x:c r="F23" s="1" t="str">
        <x:v>HOLDING còn hạn</x:v>
      </x:c>
      <x:c r="G23" s="1" t="str">
        <x:v>Session B mở map</x:v>
      </x:c>
      <x:c r="H23" s="1" t="str">
        <x:v>Hiện đang giữ; không chọn được</x:v>
      </x:c>
      <x:c r="I23" s="1" t="str">
        <x:v>P0</x:v>
      </x:c>
      <x:c r="J23" s="1" t="str">
        <x:v>Concurrency</x:v>
      </x:c>
      <x:c r="K23" s="1" t="str">
        <x:v>Not Run</x:v>
      </x:c>
      <x:c r="L23" s="1" t="str"/>
      <x:c r="M23" s="1" t="str"/>
      <x:c r="N23" s="11" t="str"/>
      <x:c r="O23" s="1" t="str"/>
    </x:row>
    <x:row r="24">
      <x:c r="A24" s="1" t="str">
        <x:v>SEAT-05</x:v>
      </x:c>
      <x:c r="B24" s="1" t="str">
        <x:v>Seat Selection</x:v>
      </x:c>
      <x:c r="C24" s="1" t="str">
        <x:v>Pricing</x:v>
      </x:c>
      <x:c r="D24" s="1" t="str">
        <x:v>Chọn ghế thường</x:v>
      </x:c>
      <x:c r="E24" s="1" t="str">
        <x:v>Ghế trống</x:v>
      </x:c>
      <x:c r="F24" s="1" t="str">
        <x:v>1 std</x:v>
      </x:c>
      <x:c r="G24" s="1" t="str">
        <x:v>Chọn; tiếp tục</x:v>
      </x:c>
      <x:c r="H24" s="1" t="str">
        <x:v>Hold 5 phút; giá 90.000đ</x:v>
      </x:c>
      <x:c r="I24" s="1" t="str">
        <x:v>P0</x:v>
      </x:c>
      <x:c r="J24" s="1" t="str">
        <x:v>Functional</x:v>
      </x:c>
      <x:c r="K24" s="1" t="str">
        <x:v>Not Run</x:v>
      </x:c>
      <x:c r="L24" s="1" t="str"/>
      <x:c r="M24" s="1" t="str"/>
      <x:c r="N24" s="11" t="str"/>
      <x:c r="O24" s="1" t="str"/>
    </x:row>
    <x:row r="25">
      <x:c r="A25" s="1" t="str">
        <x:v>SEAT-06</x:v>
      </x:c>
      <x:c r="B25" s="1" t="str">
        <x:v>Seat Selection</x:v>
      </x:c>
      <x:c r="C25" s="1" t="str">
        <x:v>Pricing</x:v>
      </x:c>
      <x:c r="D25" s="1" t="str">
        <x:v>Chọn ghế VIP</x:v>
      </x:c>
      <x:c r="E25" s="1" t="str">
        <x:v>Ghế trống</x:v>
      </x:c>
      <x:c r="F25" s="1" t="str">
        <x:v>1 vip</x:v>
      </x:c>
      <x:c r="G25" s="1" t="str">
        <x:v>Chọn; tiếp tục</x:v>
      </x:c>
      <x:c r="H25" s="1" t="str">
        <x:v>Giá 120.000đ</x:v>
      </x:c>
      <x:c r="I25" s="1" t="str">
        <x:v>P1</x:v>
      </x:c>
      <x:c r="J25" s="1" t="str">
        <x:v>Functional</x:v>
      </x:c>
      <x:c r="K25" s="1" t="str">
        <x:v>Not Run</x:v>
      </x:c>
      <x:c r="L25" s="1" t="str"/>
      <x:c r="M25" s="1" t="str"/>
      <x:c r="N25" s="11" t="str"/>
      <x:c r="O25" s="1" t="str"/>
    </x:row>
    <x:row r="26">
      <x:c r="A26" s="1" t="str">
        <x:v>SEAT-07</x:v>
      </x:c>
      <x:c r="B26" s="1" t="str">
        <x:v>Seat Selection</x:v>
      </x:c>
      <x:c r="C26" s="1" t="str">
        <x:v>Pricing</x:v>
      </x:c>
      <x:c r="D26" s="1" t="str">
        <x:v>Chọn ghế đôi</x:v>
      </x:c>
      <x:c r="E26" s="1" t="str">
        <x:v>Ghế trống</x:v>
      </x:c>
      <x:c r="F26" s="1" t="str">
        <x:v>1 couple</x:v>
      </x:c>
      <x:c r="G26" s="1" t="str">
        <x:v>Chọn; tiếp tục</x:v>
      </x:c>
      <x:c r="H26" s="1" t="str">
        <x:v>Giá 180.000đ</x:v>
      </x:c>
      <x:c r="I26" s="1" t="str">
        <x:v>P1</x:v>
      </x:c>
      <x:c r="J26" s="1" t="str">
        <x:v>Functional</x:v>
      </x:c>
      <x:c r="K26" s="1" t="str">
        <x:v>Not Run</x:v>
      </x:c>
      <x:c r="L26" s="1" t="str"/>
      <x:c r="M26" s="1" t="str"/>
      <x:c r="N26" s="11" t="str"/>
      <x:c r="O26" s="1" t="str"/>
    </x:row>
    <x:row r="27">
      <x:c r="A27" s="1" t="str">
        <x:v>SEAT-08</x:v>
      </x:c>
      <x:c r="B27" s="1" t="str">
        <x:v>Seat Selection</x:v>
      </x:c>
      <x:c r="C27" s="1" t="str">
        <x:v>Validation</x:v>
      </x:c>
      <x:c r="D27" s="1" t="str">
        <x:v>Không chọn ghế</x:v>
      </x:c>
      <x:c r="E27" s="1" t="str">
        <x:v>Đang ở seat map</x:v>
      </x:c>
      <x:c r="F27" s="1" t="str">
        <x:v>seatIds rỗng</x:v>
      </x:c>
      <x:c r="G27" s="1" t="str">
        <x:v>Tiếp tục</x:v>
      </x:c>
      <x:c r="H27" s="1" t="str">
        <x:v>Báo chọn ít nhất một ghế</x:v>
      </x:c>
      <x:c r="I27" s="1" t="str">
        <x:v>P0</x:v>
      </x:c>
      <x:c r="J27" s="1" t="str">
        <x:v>Negative</x:v>
      </x:c>
      <x:c r="K27" s="1" t="str">
        <x:v>Not Run</x:v>
      </x:c>
      <x:c r="L27" s="1" t="str"/>
      <x:c r="M27" s="1" t="str"/>
      <x:c r="N27" s="11" t="str"/>
      <x:c r="O27" s="1" t="str"/>
    </x:row>
    <x:row r="28">
      <x:c r="A28" s="1" t="str">
        <x:v>SEAT-09</x:v>
      </x:c>
      <x:c r="B28" s="1" t="str">
        <x:v>Seat Selection</x:v>
      </x:c>
      <x:c r="C28" s="1" t="str">
        <x:v>Limit</x:v>
      </x:c>
      <x:c r="D28" s="1" t="str">
        <x:v>Chọn quá 8 ghế</x:v>
      </x:c>
      <x:c r="E28" s="1" t="str">
        <x:v>Có 9 ghế trống</x:v>
      </x:c>
      <x:c r="F28" s="1" t="str">
        <x:v>9 seatIds</x:v>
      </x:c>
      <x:c r="G28" s="1" t="str">
        <x:v>POST giữ ghế</x:v>
      </x:c>
      <x:c r="H28" s="1" t="str">
        <x:v>Từ chối; tối đa 8</x:v>
      </x:c>
      <x:c r="I28" s="1" t="str">
        <x:v>P1</x:v>
      </x:c>
      <x:c r="J28" s="1" t="str">
        <x:v>Boundary</x:v>
      </x:c>
      <x:c r="K28" s="1" t="str">
        <x:v>Not Run</x:v>
      </x:c>
      <x:c r="L28" s="1" t="str"/>
      <x:c r="M28" s="1" t="str"/>
      <x:c r="N28" s="11" t="str"/>
      <x:c r="O28" s="1" t="str"/>
    </x:row>
    <x:row r="29">
      <x:c r="A29" s="1" t="str">
        <x:v>SEAT-10</x:v>
      </x:c>
      <x:c r="B29" s="1" t="str">
        <x:v>Seat Selection</x:v>
      </x:c>
      <x:c r="C29" s="1" t="str">
        <x:v>A1</x:v>
      </x:c>
      <x:c r="D29" s="1" t="str">
        <x:v>Hai khách cùng chọn ghế</x:v>
      </x:c>
      <x:c r="E29" s="1" t="str">
        <x:v>Hai session thấy AVAILABLE</x:v>
      </x:c>
      <x:c r="F29" s="1" t="str">
        <x:v>Cùng showtime/seat</x:v>
      </x:c>
      <x:c r="G29" s="1" t="str">
        <x:v>A giữ; B giữ</x:v>
      </x:c>
      <x:c r="H29" s="1" t="str">
        <x:v>A thành công; B bị chặn</x:v>
      </x:c>
      <x:c r="I29" s="1" t="str">
        <x:v>P0</x:v>
      </x:c>
      <x:c r="J29" s="1" t="str">
        <x:v>Concurrency</x:v>
      </x:c>
      <x:c r="K29" s="1" t="str">
        <x:v>Not Run</x:v>
      </x:c>
      <x:c r="L29" s="1" t="str"/>
      <x:c r="M29" s="1" t="str"/>
      <x:c r="N29" s="11" t="str"/>
      <x:c r="O29" s="1" t="str"/>
    </x:row>
    <x:row r="30">
      <x:c r="A30" s="1" t="str">
        <x:v>SEAT-11</x:v>
      </x:c>
      <x:c r="B30" s="1" t="str">
        <x:v>Seat Selection</x:v>
      </x:c>
      <x:c r="C30" s="1" t="str">
        <x:v>A3</x:v>
      </x:c>
      <x:c r="D30" s="1" t="str">
        <x:v>Hết hạn giữ ghế</x:v>
      </x:c>
      <x:c r="E30" s="1" t="str">
        <x:v>Đã hold</x:v>
      </x:c>
      <x:c r="F30" s="1" t="str">
        <x:v>expiresAt &lt; now</x:v>
      </x:c>
      <x:c r="G30" s="1" t="str">
        <x:v>Mở combo/summary</x:v>
      </x:c>
      <x:c r="H30" s="1" t="str">
        <x:v>Về seat map; ghế nhả</x:v>
      </x:c>
      <x:c r="I30" s="1" t="str">
        <x:v>P0</x:v>
      </x:c>
      <x:c r="J30" s="1" t="str">
        <x:v>Timeout</x:v>
      </x:c>
      <x:c r="K30" s="1" t="str">
        <x:v>Not Run</x:v>
      </x:c>
      <x:c r="L30" s="1" t="str"/>
      <x:c r="M30" s="1" t="str"/>
      <x:c r="N30" s="11" t="str"/>
      <x:c r="O30" s="1" t="str"/>
    </x:row>
    <x:row r="31">
      <x:c r="A31" s="1" t="str">
        <x:v>SEAT-12</x:v>
      </x:c>
      <x:c r="B31" s="1" t="str">
        <x:v>Seat Selection</x:v>
      </x:c>
      <x:c r="C31" s="1" t="str">
        <x:v>A4</x:v>
      </x:c>
      <x:c r="D31" s="1" t="str">
        <x:v>Đổi ghế</x:v>
      </x:c>
      <x:c r="E31" s="1" t="str">
        <x:v>Đang giữ A1</x:v>
      </x:c>
      <x:c r="F31" s="1" t="str">
        <x:v>A2 thay A1</x:v>
      </x:c>
      <x:c r="G31" s="1" t="str">
        <x:v>POST lại</x:v>
      </x:c>
      <x:c r="H31" s="1" t="str">
        <x:v>Nhả A1; giữ A2; cập nhật tiền</x:v>
      </x:c>
      <x:c r="I31" s="1" t="str">
        <x:v>P1</x:v>
      </x:c>
      <x:c r="J31" s="1" t="str">
        <x:v>Functional</x:v>
      </x:c>
      <x:c r="K31" s="1" t="str">
        <x:v>Not Run</x:v>
      </x:c>
      <x:c r="L31" s="1" t="str"/>
      <x:c r="M31" s="1" t="str"/>
      <x:c r="N31" s="11" t="str"/>
      <x:c r="O31" s="1" t="str"/>
    </x:row>
    <x:row r="32">
      <x:c r="A32" s="1" t="str">
        <x:v>SEAT-13</x:v>
      </x:c>
      <x:c r="B32" s="1" t="str">
        <x:v>Seat Selection</x:v>
      </x:c>
      <x:c r="C32" s="1" t="str">
        <x:v>Validation</x:v>
      </x:c>
      <x:c r="D32" s="1" t="str">
        <x:v>Ghế phòng khác</x:v>
      </x:c>
      <x:c r="E32" s="1" t="str">
        <x:v>Có seat room B</x:v>
      </x:c>
      <x:c r="F32" s="1" t="str">
        <x:v>seatId room B</x:v>
      </x:c>
      <x:c r="G32" s="1" t="str">
        <x:v>POST cho room A</x:v>
      </x:c>
      <x:c r="H32" s="1" t="str">
        <x:v>Từ chối</x:v>
      </x:c>
      <x:c r="I32" s="1" t="str">
        <x:v>P0</x:v>
      </x:c>
      <x:c r="J32" s="1" t="str">
        <x:v>Security</x:v>
      </x:c>
      <x:c r="K32" s="1" t="str">
        <x:v>Not Run</x:v>
      </x:c>
      <x:c r="L32" s="1" t="str"/>
      <x:c r="M32" s="1" t="str"/>
      <x:c r="N32" s="11" t="str"/>
      <x:c r="O32" s="1" t="str"/>
    </x:row>
    <x:row r="33">
      <x:c r="A33" s="1" t="str">
        <x:v>SEAT-14</x:v>
      </x:c>
      <x:c r="B33" s="1" t="str">
        <x:v>Seat Selection</x:v>
      </x:c>
      <x:c r="C33" s="1" t="str">
        <x:v>Validation</x:v>
      </x:c>
      <x:c r="D33" s="1" t="str">
        <x:v>Ghế broken/empty</x:v>
      </x:c>
      <x:c r="E33" s="1" t="str">
        <x:v>Có non-sellable</x:v>
      </x:c>
      <x:c r="F33" s="1" t="str">
        <x:v>broken/empty id</x:v>
      </x:c>
      <x:c r="G33" s="1" t="str">
        <x:v>POST trực tiếp</x:v>
      </x:c>
      <x:c r="H33" s="1" t="str">
        <x:v>Từ chối; không tạo hold</x:v>
      </x:c>
      <x:c r="I33" s="1" t="str">
        <x:v>P0</x:v>
      </x:c>
      <x:c r="J33" s="1" t="str">
        <x:v>Negative</x:v>
      </x:c>
      <x:c r="K33" s="1" t="str">
        <x:v>Not Run</x:v>
      </x:c>
      <x:c r="L33" s="1" t="str"/>
      <x:c r="M33" s="1" t="str"/>
      <x:c r="N33" s="11" t="str"/>
      <x:c r="O33" s="1" t="str"/>
    </x:row>
    <x:row r="34">
      <x:c r="A34" s="1" t="str">
        <x:v>SEAT-15</x:v>
      </x:c>
      <x:c r="B34" s="1" t="str">
        <x:v>Seat Selection</x:v>
      </x:c>
      <x:c r="C34" s="1" t="str">
        <x:v>Persistence</x:v>
      </x:c>
      <x:c r="D34" s="1" t="str">
        <x:v>Refresh lúc giữ ghế</x:v>
      </x:c>
      <x:c r="E34" s="1" t="str">
        <x:v>Session có hold</x:v>
      </x:c>
      <x:c r="F34" s="1" t="str">
        <x:v>holdToken hợp lệ</x:v>
      </x:c>
      <x:c r="G34" s="1" t="str">
        <x:v>Refresh</x:v>
      </x:c>
      <x:c r="H34" s="1" t="str">
        <x:v>Ghế vẫn selected; timer giữ nguyên</x:v>
      </x:c>
      <x:c r="I34" s="1" t="str">
        <x:v>P1</x:v>
      </x:c>
      <x:c r="J34" s="1" t="str">
        <x:v>Functional</x:v>
      </x:c>
      <x:c r="K34" s="1" t="str">
        <x:v>Not Run</x:v>
      </x:c>
      <x:c r="L34" s="1" t="str"/>
      <x:c r="M34" s="1" t="str"/>
      <x:c r="N34" s="11" t="str"/>
      <x:c r="O34" s="1" t="str"/>
    </x:row>
    <x:row r="35">
      <x:c r="A35" s="1" t="str">
        <x:v>COMBO-01</x:v>
      </x:c>
      <x:c r="B35" s="1" t="str">
        <x:v>Combo Selection</x:v>
      </x:c>
      <x:c r="C35" s="1" t="str">
        <x:v>UC-C07</x:v>
      </x:c>
      <x:c r="D35" s="1" t="str">
        <x:v>Danh sách combo</x:v>
      </x:c>
      <x:c r="E35" s="1" t="str">
        <x:v>Đã hold ghế</x:v>
      </x:c>
      <x:c r="F35" s="1" t="str">
        <x:v>ACTIVE/NEW/INACTIVE</x:v>
      </x:c>
      <x:c r="G35" s="1" t="str">
        <x:v>Mở combo</x:v>
      </x:c>
      <x:c r="H35" s="1" t="str">
        <x:v>Chỉ ACTIVE và NEW</x:v>
      </x:c>
      <x:c r="I35" s="1" t="str">
        <x:v>P1</x:v>
      </x:c>
      <x:c r="J35" s="1" t="str">
        <x:v>Functional</x:v>
      </x:c>
      <x:c r="K35" s="1" t="str">
        <x:v>Not Run</x:v>
      </x:c>
      <x:c r="L35" s="1" t="str"/>
      <x:c r="M35" s="1" t="str"/>
      <x:c r="N35" s="11" t="str"/>
      <x:c r="O35" s="1" t="str"/>
    </x:row>
    <x:row r="36">
      <x:c r="A36" s="1" t="str">
        <x:v>COMBO-02</x:v>
      </x:c>
      <x:c r="B36" s="1" t="str">
        <x:v>Combo Selection</x:v>
      </x:c>
      <x:c r="C36" s="1" t="str">
        <x:v>Normal flow</x:v>
      </x:c>
      <x:c r="D36" s="1" t="str">
        <x:v>Chọn một combo</x:v>
      </x:c>
      <x:c r="E36" s="1" t="str">
        <x:v>Combo active</x:v>
      </x:c>
      <x:c r="F36" s="1" t="str">
        <x:v>quantity=1</x:v>
      </x:c>
      <x:c r="G36" s="1" t="str">
        <x:v>Tiếp tục</x:v>
      </x:c>
      <x:c r="H36" s="1" t="str">
        <x:v>Lưu session; subtotal đúng</x:v>
      </x:c>
      <x:c r="I36" s="1" t="str">
        <x:v>P0</x:v>
      </x:c>
      <x:c r="J36" s="1" t="str">
        <x:v>Functional</x:v>
      </x:c>
      <x:c r="K36" s="1" t="str">
        <x:v>Not Run</x:v>
      </x:c>
      <x:c r="L36" s="1" t="str"/>
      <x:c r="M36" s="1" t="str"/>
      <x:c r="N36" s="11" t="str"/>
      <x:c r="O36" s="1" t="str"/>
    </x:row>
    <x:row r="37">
      <x:c r="A37" s="1" t="str">
        <x:v>COMBO-03</x:v>
      </x:c>
      <x:c r="B37" s="1" t="str">
        <x:v>Combo Selection</x:v>
      </x:c>
      <x:c r="C37" s="1" t="str">
        <x:v>Calculation</x:v>
      </x:c>
      <x:c r="D37" s="1" t="str">
        <x:v>Nhiều combo</x:v>
      </x:c>
      <x:c r="E37" s="1" t="str">
        <x:v>Có 2 combo</x:v>
      </x:c>
      <x:c r="F37" s="1" t="str">
        <x:v>Solo×2; Couple×1</x:v>
      </x:c>
      <x:c r="G37" s="1" t="str">
        <x:v>Mở summary</x:v>
      </x:c>
      <x:c r="H37" s="1" t="str">
        <x:v>Đúng từng dòng và tổng</x:v>
      </x:c>
      <x:c r="I37" s="1" t="str">
        <x:v>P1</x:v>
      </x:c>
      <x:c r="J37" s="1" t="str">
        <x:v>Calculation</x:v>
      </x:c>
      <x:c r="K37" s="1" t="str">
        <x:v>Not Run</x:v>
      </x:c>
      <x:c r="L37" s="1" t="str"/>
      <x:c r="M37" s="1" t="str"/>
      <x:c r="N37" s="11" t="str"/>
      <x:c r="O37" s="1" t="str"/>
    </x:row>
    <x:row r="38">
      <x:c r="A38" s="1" t="str">
        <x:v>COMBO-04</x:v>
      </x:c>
      <x:c r="B38" s="1" t="str">
        <x:v>Combo Selection</x:v>
      </x:c>
      <x:c r="C38" s="1" t="str">
        <x:v>A2</x:v>
      </x:c>
      <x:c r="D38" s="1" t="str">
        <x:v>Bỏ qua combo</x:v>
      </x:c>
      <x:c r="E38" s="1" t="str">
        <x:v>Đã hold ghế</x:v>
      </x:c>
      <x:c r="F38" s="1" t="str">
        <x:v>Tất cả =0</x:v>
      </x:c>
      <x:c r="G38" s="1" t="str">
        <x:v>Tiếp tục</x:v>
      </x:c>
      <x:c r="H38" s="1" t="str">
        <x:v>Summary; combo=0</x:v>
      </x:c>
      <x:c r="I38" s="1" t="str">
        <x:v>P0</x:v>
      </x:c>
      <x:c r="J38" s="1" t="str">
        <x:v>Functional</x:v>
      </x:c>
      <x:c r="K38" s="1" t="str">
        <x:v>Not Run</x:v>
      </x:c>
      <x:c r="L38" s="1" t="str"/>
      <x:c r="M38" s="1" t="str"/>
      <x:c r="N38" s="11" t="str"/>
      <x:c r="O38" s="1" t="str"/>
    </x:row>
    <x:row r="39">
      <x:c r="A39" s="1" t="str">
        <x:v>COMBO-05</x:v>
      </x:c>
      <x:c r="B39" s="1" t="str">
        <x:v>Combo Selection</x:v>
      </x:c>
      <x:c r="C39" s="1" t="str">
        <x:v>A3</x:v>
      </x:c>
      <x:c r="D39" s="1" t="str">
        <x:v>Số lượng âm</x:v>
      </x:c>
      <x:c r="E39" s="1" t="str">
        <x:v>Đã hold</x:v>
      </x:c>
      <x:c r="F39" s="1" t="str">
        <x:v>quantity=-1</x:v>
      </x:c>
      <x:c r="G39" s="1" t="str">
        <x:v>POST</x:v>
      </x:c>
      <x:c r="H39" s="1" t="str">
        <x:v>Từ chối ngoài 0..10</x:v>
      </x:c>
      <x:c r="I39" s="1" t="str">
        <x:v>P1</x:v>
      </x:c>
      <x:c r="J39" s="1" t="str">
        <x:v>Negative</x:v>
      </x:c>
      <x:c r="K39" s="1" t="str">
        <x:v>Not Run</x:v>
      </x:c>
      <x:c r="L39" s="1" t="str"/>
      <x:c r="M39" s="1" t="str"/>
      <x:c r="N39" s="11" t="str"/>
      <x:c r="O39" s="1" t="str"/>
    </x:row>
    <x:row r="40">
      <x:c r="A40" s="1" t="str">
        <x:v>COMBO-06</x:v>
      </x:c>
      <x:c r="B40" s="1" t="str">
        <x:v>Combo Selection</x:v>
      </x:c>
      <x:c r="C40" s="1" t="str">
        <x:v>Boundary</x:v>
      </x:c>
      <x:c r="D40" s="1" t="str">
        <x:v>Số lượng &gt;10</x:v>
      </x:c>
      <x:c r="E40" s="1" t="str">
        <x:v>Đã hold</x:v>
      </x:c>
      <x:c r="F40" s="1" t="str">
        <x:v>quantity=11</x:v>
      </x:c>
      <x:c r="G40" s="1" t="str">
        <x:v>POST</x:v>
      </x:c>
      <x:c r="H40" s="1" t="str">
        <x:v>Từ chối</x:v>
      </x:c>
      <x:c r="I40" s="1" t="str">
        <x:v>P1</x:v>
      </x:c>
      <x:c r="J40" s="1" t="str">
        <x:v>Boundary</x:v>
      </x:c>
      <x:c r="K40" s="1" t="str">
        <x:v>Not Run</x:v>
      </x:c>
      <x:c r="L40" s="1" t="str"/>
      <x:c r="M40" s="1" t="str"/>
      <x:c r="N40" s="11" t="str"/>
      <x:c r="O40" s="1" t="str"/>
    </x:row>
    <x:row r="41">
      <x:c r="A41" s="1" t="str">
        <x:v>COMBO-07</x:v>
      </x:c>
      <x:c r="B41" s="1" t="str">
        <x:v>Combo Selection</x:v>
      </x:c>
      <x:c r="C41" s="1" t="str">
        <x:v>A1</x:v>
      </x:c>
      <x:c r="D41" s="1" t="str">
        <x:v>Combo vừa inactive</x:v>
      </x:c>
      <x:c r="E41" s="1" t="str">
        <x:v>Đã chọn rồi bị tắt</x:v>
      </x:c>
      <x:c r="F41" s="1" t="str">
        <x:v>status INACTIVE</x:v>
      </x:c>
      <x:c r="G41" s="1" t="str">
        <x:v>Mở summary</x:v>
      </x:c>
      <x:c r="H41" s="1" t="str">
        <x:v>Báo không còn khả dụng</x:v>
      </x:c>
      <x:c r="I41" s="1" t="str">
        <x:v>P0</x:v>
      </x:c>
      <x:c r="J41" s="1" t="str">
        <x:v>Integration</x:v>
      </x:c>
      <x:c r="K41" s="1" t="str">
        <x:v>Not Run</x:v>
      </x:c>
      <x:c r="L41" s="1" t="str"/>
      <x:c r="M41" s="1" t="str"/>
      <x:c r="N41" s="11" t="str"/>
      <x:c r="O41" s="1" t="str"/>
    </x:row>
    <x:row r="42">
      <x:c r="A42" s="1" t="str">
        <x:v>COMBO-08</x:v>
      </x:c>
      <x:c r="B42" s="1" t="str">
        <x:v>Combo Selection</x:v>
      </x:c>
      <x:c r="C42" s="1" t="str">
        <x:v>Timeout</x:v>
      </x:c>
      <x:c r="D42" s="1" t="str">
        <x:v>Hold hết hạn ở combo</x:v>
      </x:c>
      <x:c r="E42" s="1" t="str">
        <x:v>Đang chọn combo</x:v>
      </x:c>
      <x:c r="F42" s="1" t="str">
        <x:v>hold quá hạn</x:v>
      </x:c>
      <x:c r="G42" s="1" t="str">
        <x:v>Tiếp tục</x:v>
      </x:c>
      <x:c r="H42" s="1" t="str">
        <x:v>Về seat map; không tạo booking</x:v>
      </x:c>
      <x:c r="I42" s="1" t="str">
        <x:v>P0</x:v>
      </x:c>
      <x:c r="J42" s="1" t="str">
        <x:v>Timeout</x:v>
      </x:c>
      <x:c r="K42" s="1" t="str">
        <x:v>Not Run</x:v>
      </x:c>
      <x:c r="L42" s="1" t="str"/>
      <x:c r="M42" s="1" t="str"/>
      <x:c r="N42" s="11" t="str"/>
      <x:c r="O42" s="1" t="str"/>
    </x:row>
    <x:row r="43">
      <x:c r="A43" s="1" t="str">
        <x:v>SUM-01</x:v>
      </x:c>
      <x:c r="B43" s="1" t="str">
        <x:v>Booking Summary</x:v>
      </x:c>
      <x:c r="C43" s="1" t="str">
        <x:v>UC-C11</x:v>
      </x:c>
      <x:c r="D43" s="1" t="str">
        <x:v>Hiển thị summary</x:v>
      </x:c>
      <x:c r="E43" s="1" t="str">
        <x:v>Session hợp lệ</x:v>
      </x:c>
      <x:c r="F43" s="1" t="str">
        <x:v>Suất+ghế+combo</x:v>
      </x:c>
      <x:c r="G43" s="1" t="str">
        <x:v>Mở summary</x:v>
      </x:c>
      <x:c r="H43" s="1" t="str">
        <x:v>Đủ phim, suất, phòng, ghế, tiền</x:v>
      </x:c>
      <x:c r="I43" s="1" t="str">
        <x:v>P0</x:v>
      </x:c>
      <x:c r="J43" s="1" t="str">
        <x:v>Functional</x:v>
      </x:c>
      <x:c r="K43" s="1" t="str">
        <x:v>Not Run</x:v>
      </x:c>
      <x:c r="L43" s="1" t="str"/>
      <x:c r="M43" s="1" t="str"/>
      <x:c r="N43" s="11" t="str"/>
      <x:c r="O43" s="1" t="str"/>
    </x:row>
    <x:row r="44">
      <x:c r="A44" s="1" t="str">
        <x:v>SUM-02</x:v>
      </x:c>
      <x:c r="B44" s="1" t="str">
        <x:v>Booking Summary</x:v>
      </x:c>
      <x:c r="C44" s="1" t="str">
        <x:v>Formula</x:v>
      </x:c>
      <x:c r="D44" s="1" t="str">
        <x:v>Tổng không voucher</x:v>
      </x:c>
      <x:c r="E44" s="1" t="str">
        <x:v>Có ghế/combo</x:v>
      </x:c>
      <x:c r="F44" s="1" t="str">
        <x:v>180k + 81k</x:v>
      </x:c>
      <x:c r="G44" s="1" t="str">
        <x:v>Mở summary</x:v>
      </x:c>
      <x:c r="H44" s="1" t="str">
        <x:v>Total=261.000đ</x:v>
      </x:c>
      <x:c r="I44" s="1" t="str">
        <x:v>P0</x:v>
      </x:c>
      <x:c r="J44" s="1" t="str">
        <x:v>Calculation</x:v>
      </x:c>
      <x:c r="K44" s="1" t="str">
        <x:v>Not Run</x:v>
      </x:c>
      <x:c r="L44" s="1" t="str"/>
      <x:c r="M44" s="1" t="str"/>
      <x:c r="N44" s="11" t="str"/>
      <x:c r="O44" s="1" t="str"/>
    </x:row>
    <x:row r="45">
      <x:c r="A45" s="1" t="str">
        <x:v>SUM-03</x:v>
      </x:c>
      <x:c r="B45" s="1" t="str">
        <x:v>Booking Summary</x:v>
      </x:c>
      <x:c r="C45" s="1" t="str">
        <x:v>Voucher</x:v>
      </x:c>
      <x:c r="D45" s="1" t="str">
        <x:v>Voucher hợp lệ</x:v>
      </x:c>
      <x:c r="E45" s="1" t="str">
        <x:v>Session hợp lệ</x:v>
      </x:c>
      <x:c r="F45" s="1" t="str">
        <x:v>CINEFLOW10</x:v>
      </x:c>
      <x:c r="G45" s="1" t="str">
        <x:v>Áp dụng</x:v>
      </x:c>
      <x:c r="H45" s="1" t="str">
        <x:v>Giảm 10%; tối đa 50.000đ</x:v>
      </x:c>
      <x:c r="I45" s="1" t="str">
        <x:v>P1</x:v>
      </x:c>
      <x:c r="J45" s="1" t="str">
        <x:v>Functional</x:v>
      </x:c>
      <x:c r="K45" s="1" t="str">
        <x:v>Not Run</x:v>
      </x:c>
      <x:c r="L45" s="1" t="str"/>
      <x:c r="M45" s="1" t="str"/>
      <x:c r="N45" s="11" t="str"/>
      <x:c r="O45" s="1" t="str"/>
    </x:row>
    <x:row r="46">
      <x:c r="A46" s="1" t="str">
        <x:v>SUM-04</x:v>
      </x:c>
      <x:c r="B46" s="1" t="str">
        <x:v>Booking Summary</x:v>
      </x:c>
      <x:c r="C46" s="1" t="str">
        <x:v>Voucher</x:v>
      </x:c>
      <x:c r="D46" s="1" t="str">
        <x:v>Voucher chữ thường</x:v>
      </x:c>
      <x:c r="E46" s="1" t="str">
        <x:v>Session hợp lệ</x:v>
      </x:c>
      <x:c r="F46" s="1" t="str">
        <x:v>cineflow10</x:v>
      </x:c>
      <x:c r="G46" s="1" t="str">
        <x:v>Áp dụng</x:v>
      </x:c>
      <x:c r="H46" s="1" t="str">
        <x:v>Chuẩn hóa và áp dụng</x:v>
      </x:c>
      <x:c r="I46" s="1" t="str">
        <x:v>P2</x:v>
      </x:c>
      <x:c r="J46" s="1" t="str">
        <x:v>Functional</x:v>
      </x:c>
      <x:c r="K46" s="1" t="str">
        <x:v>Not Run</x:v>
      </x:c>
      <x:c r="L46" s="1" t="str"/>
      <x:c r="M46" s="1" t="str"/>
      <x:c r="N46" s="11" t="str"/>
      <x:c r="O46" s="1" t="str"/>
    </x:row>
    <x:row r="47">
      <x:c r="A47" s="1" t="str">
        <x:v>SUM-05</x:v>
      </x:c>
      <x:c r="B47" s="1" t="str">
        <x:v>Booking Summary</x:v>
      </x:c>
      <x:c r="C47" s="1" t="str">
        <x:v>A3</x:v>
      </x:c>
      <x:c r="D47" s="1" t="str">
        <x:v>Voucher sai</x:v>
      </x:c>
      <x:c r="E47" s="1" t="str">
        <x:v>Session hợp lệ</x:v>
      </x:c>
      <x:c r="F47" s="1" t="str">
        <x:v>INVALID</x:v>
      </x:c>
      <x:c r="G47" s="1" t="str">
        <x:v>Áp dụng</x:v>
      </x:c>
      <x:c r="H47" s="1" t="str">
        <x:v>Báo sai; discount=0</x:v>
      </x:c>
      <x:c r="I47" s="1" t="str">
        <x:v>P1</x:v>
      </x:c>
      <x:c r="J47" s="1" t="str">
        <x:v>Negative</x:v>
      </x:c>
      <x:c r="K47" s="1" t="str">
        <x:v>Not Run</x:v>
      </x:c>
      <x:c r="L47" s="1" t="str"/>
      <x:c r="M47" s="1" t="str"/>
      <x:c r="N47" s="11" t="str"/>
      <x:c r="O47" s="1" t="str"/>
    </x:row>
    <x:row r="48">
      <x:c r="A48" s="1" t="str">
        <x:v>SUM-06</x:v>
      </x:c>
      <x:c r="B48" s="1" t="str">
        <x:v>Booking Summary</x:v>
      </x:c>
      <x:c r="C48" s="1" t="str">
        <x:v>A1</x:v>
      </x:c>
      <x:c r="D48" s="1" t="str">
        <x:v>Thiếu ghế</x:v>
      </x:c>
      <x:c r="E48" s="1" t="str">
        <x:v>Có showtime; không hold</x:v>
      </x:c>
      <x:c r="F48" s="1" t="str">
        <x:v>token rỗng</x:v>
      </x:c>
      <x:c r="G48" s="1" t="str">
        <x:v>Mở summary</x:v>
      </x:c>
      <x:c r="H48" s="1" t="str">
        <x:v>Về seat map</x:v>
      </x:c>
      <x:c r="I48" s="1" t="str">
        <x:v>P0</x:v>
      </x:c>
      <x:c r="J48" s="1" t="str">
        <x:v>Negative</x:v>
      </x:c>
      <x:c r="K48" s="1" t="str">
        <x:v>Not Run</x:v>
      </x:c>
      <x:c r="L48" s="1" t="str"/>
      <x:c r="M48" s="1" t="str"/>
      <x:c r="N48" s="11" t="str"/>
      <x:c r="O48" s="1" t="str"/>
    </x:row>
    <x:row r="49">
      <x:c r="A49" s="1" t="str">
        <x:v>SUM-07</x:v>
      </x:c>
      <x:c r="B49" s="1" t="str">
        <x:v>Booking Summary</x:v>
      </x:c>
      <x:c r="C49" s="1" t="str">
        <x:v>Normal flow</x:v>
      </x:c>
      <x:c r="D49" s="1" t="str">
        <x:v>Xác nhận booking</x:v>
      </x:c>
      <x:c r="E49" s="1" t="str">
        <x:v>Hold còn hạn</x:v>
      </x:c>
      <x:c r="F49" s="1" t="str">
        <x:v>Session hợp lệ</x:v>
      </x:c>
      <x:c r="G49" s="1" t="str">
        <x:v>Xác nhận</x:v>
      </x:c>
      <x:c r="H49" s="1" t="str">
        <x:v>Tạo PENDING; gắn ticket/combo</x:v>
      </x:c>
      <x:c r="I49" s="1" t="str">
        <x:v>P0</x:v>
      </x:c>
      <x:c r="J49" s="1" t="str">
        <x:v>Integration</x:v>
      </x:c>
      <x:c r="K49" s="1" t="str">
        <x:v>Not Run</x:v>
      </x:c>
      <x:c r="L49" s="1" t="str"/>
      <x:c r="M49" s="1" t="str"/>
      <x:c r="N49" s="11" t="str"/>
      <x:c r="O49" s="1" t="str"/>
    </x:row>
    <x:row r="50">
      <x:c r="A50" s="1" t="str">
        <x:v>SUM-08</x:v>
      </x:c>
      <x:c r="B50" s="1" t="str">
        <x:v>Booking Summary</x:v>
      </x:c>
      <x:c r="C50" s="1" t="str">
        <x:v>Idempotency</x:v>
      </x:c>
      <x:c r="D50" s="1" t="str">
        <x:v>Double confirm</x:v>
      </x:c>
      <x:c r="E50" s="1" t="str">
        <x:v>Booking vừa tạo</x:v>
      </x:c>
      <x:c r="F50" s="1" t="str">
        <x:v>2 request</x:v>
      </x:c>
      <x:c r="G50" s="1" t="str">
        <x:v>Gửi hai lần</x:v>
      </x:c>
      <x:c r="H50" s="1" t="str">
        <x:v>Không tạo trùng booking/ghế</x:v>
      </x:c>
      <x:c r="I50" s="1" t="str">
        <x:v>P0</x:v>
      </x:c>
      <x:c r="J50" s="1" t="str">
        <x:v>Concurrency</x:v>
      </x:c>
      <x:c r="K50" s="1" t="str">
        <x:v>Not Run</x:v>
      </x:c>
      <x:c r="L50" s="1" t="str"/>
      <x:c r="M50" s="1" t="str"/>
      <x:c r="N50" s="11" t="str"/>
      <x:c r="O50" s="1" t="str"/>
    </x:row>
    <x:row r="51">
      <x:c r="A51" s="1" t="str">
        <x:v>PAY-01</x:v>
      </x:c>
      <x:c r="B51" s="1" t="str">
        <x:v>Payment</x:v>
      </x:c>
      <x:c r="C51" s="1" t="str">
        <x:v>UC-C12</x:v>
      </x:c>
      <x:c r="D51" s="1" t="str">
        <x:v>Mở payment</x:v>
      </x:c>
      <x:c r="E51" s="1" t="str">
        <x:v>PENDING còn hạn</x:v>
      </x:c>
      <x:c r="F51" s="1" t="str">
        <x:v>bookingId đúng account</x:v>
      </x:c>
      <x:c r="G51" s="1" t="str">
        <x:v>Mở /payment</x:v>
      </x:c>
      <x:c r="H51" s="1" t="str">
        <x:v>Hiện tổng và VNPay/MoMo</x:v>
      </x:c>
      <x:c r="I51" s="1" t="str">
        <x:v>P0</x:v>
      </x:c>
      <x:c r="J51" s="1" t="str">
        <x:v>Functional</x:v>
      </x:c>
      <x:c r="K51" s="1" t="str">
        <x:v>Not Run</x:v>
      </x:c>
      <x:c r="L51" s="1" t="str"/>
      <x:c r="M51" s="1" t="str"/>
      <x:c r="N51" s="11" t="str"/>
      <x:c r="O51" s="1" t="str"/>
    </x:row>
    <x:row r="52">
      <x:c r="A52" s="1" t="str">
        <x:v>PAY-02</x:v>
      </x:c>
      <x:c r="B52" s="1" t="str">
        <x:v>Payment</x:v>
      </x:c>
      <x:c r="C52" s="1" t="str">
        <x:v>Authorization</x:v>
      </x:c>
      <x:c r="D52" s="1" t="str">
        <x:v>Booking người khác</x:v>
      </x:c>
      <x:c r="E52" s="1" t="str">
        <x:v>Booking account A</x:v>
      </x:c>
      <x:c r="F52" s="1" t="str">
        <x:v>Account B</x:v>
      </x:c>
      <x:c r="G52" s="1" t="str">
        <x:v>Mở payment</x:v>
      </x:c>
      <x:c r="H52" s="1" t="str">
        <x:v>Từ chối</x:v>
      </x:c>
      <x:c r="I52" s="1" t="str">
        <x:v>P0</x:v>
      </x:c>
      <x:c r="J52" s="1" t="str">
        <x:v>Security</x:v>
      </x:c>
      <x:c r="K52" s="1" t="str">
        <x:v>Not Run</x:v>
      </x:c>
      <x:c r="L52" s="1" t="str"/>
      <x:c r="M52" s="1" t="str"/>
      <x:c r="N52" s="11" t="str"/>
      <x:c r="O52" s="1" t="str"/>
    </x:row>
    <x:row r="53">
      <x:c r="A53" s="1" t="str">
        <x:v>PAY-03</x:v>
      </x:c>
      <x:c r="B53" s="1" t="str">
        <x:v>Payment</x:v>
      </x:c>
      <x:c r="C53" s="1" t="str">
        <x:v>Validation</x:v>
      </x:c>
      <x:c r="D53" s="1" t="str">
        <x:v>Booking đã PAID</x:v>
      </x:c>
      <x:c r="E53" s="1" t="str">
        <x:v>Đã thanh toán</x:v>
      </x:c>
      <x:c r="F53" s="1" t="str">
        <x:v>paid bookingId</x:v>
      </x:c>
      <x:c r="G53" s="1" t="str">
        <x:v>Start payment</x:v>
      </x:c>
      <x:c r="H53" s="1" t="str">
        <x:v>Từ chối</x:v>
      </x:c>
      <x:c r="I53" s="1" t="str">
        <x:v>P0</x:v>
      </x:c>
      <x:c r="J53" s="1" t="str">
        <x:v>Negative</x:v>
      </x:c>
      <x:c r="K53" s="1" t="str">
        <x:v>Not Run</x:v>
      </x:c>
      <x:c r="L53" s="1" t="str"/>
      <x:c r="M53" s="1" t="str"/>
      <x:c r="N53" s="11" t="str"/>
      <x:c r="O53" s="1" t="str"/>
    </x:row>
    <x:row r="54">
      <x:c r="A54" s="1" t="str">
        <x:v>PAY-04</x:v>
      </x:c>
      <x:c r="B54" s="1" t="str">
        <x:v>Payment</x:v>
      </x:c>
      <x:c r="C54" s="1" t="str">
        <x:v>A1</x:v>
      </x:c>
      <x:c r="D54" s="1" t="str">
        <x:v>Booking hết hạn</x:v>
      </x:c>
      <x:c r="E54" s="1" t="str">
        <x:v>PENDING expiresAt&lt;now</x:v>
      </x:c>
      <x:c r="F54" s="1" t="str">
        <x:v>expired id</x:v>
      </x:c>
      <x:c r="G54" s="1" t="str">
        <x:v>Mở payment</x:v>
      </x:c>
      <x:c r="H54" s="1" t="str">
        <x:v>EXPIRED; nhả ghế</x:v>
      </x:c>
      <x:c r="I54" s="1" t="str">
        <x:v>P0</x:v>
      </x:c>
      <x:c r="J54" s="1" t="str">
        <x:v>Timeout</x:v>
      </x:c>
      <x:c r="K54" s="1" t="str">
        <x:v>Not Run</x:v>
      </x:c>
      <x:c r="L54" s="1" t="str"/>
      <x:c r="M54" s="1" t="str"/>
      <x:c r="N54" s="11" t="str"/>
      <x:c r="O54" s="1" t="str"/>
    </x:row>
    <x:row r="55">
      <x:c r="A55" s="1" t="str">
        <x:v>PAY-05</x:v>
      </x:c>
      <x:c r="B55" s="1" t="str">
        <x:v>Payment</x:v>
      </x:c>
      <x:c r="C55" s="1" t="str">
        <x:v>VNPay</x:v>
      </x:c>
      <x:c r="D55" s="1" t="str">
        <x:v>Tạo VNPay</x:v>
      </x:c>
      <x:c r="E55" s="1" t="str">
        <x:v>Booking payable</x:v>
      </x:c>
      <x:c r="F55" s="1" t="str">
        <x:v>VNPAY</x:v>
      </x:c>
      <x:c r="G55" s="1" t="str">
        <x:v>Tiếp tục</x:v>
      </x:c>
      <x:c r="H55" s="1" t="str">
        <x:v>Payment PENDING; order unique; amount đúng</x:v>
      </x:c>
      <x:c r="I55" s="1" t="str">
        <x:v>P0</x:v>
      </x:c>
      <x:c r="J55" s="1" t="str">
        <x:v>Integration</x:v>
      </x:c>
      <x:c r="K55" s="1" t="str">
        <x:v>Not Run</x:v>
      </x:c>
      <x:c r="L55" s="1" t="str"/>
      <x:c r="M55" s="1" t="str"/>
      <x:c r="N55" s="11" t="str"/>
      <x:c r="O55" s="1" t="str"/>
    </x:row>
    <x:row r="56">
      <x:c r="A56" s="1" t="str">
        <x:v>PAY-06</x:v>
      </x:c>
      <x:c r="B56" s="1" t="str">
        <x:v>Payment</x:v>
      </x:c>
      <x:c r="C56" s="1" t="str">
        <x:v>MoMo</x:v>
      </x:c>
      <x:c r="D56" s="1" t="str">
        <x:v>Tạo MoMo</x:v>
      </x:c>
      <x:c r="E56" s="1" t="str">
        <x:v>Booking payable</x:v>
      </x:c>
      <x:c r="F56" s="1" t="str">
        <x:v>MOMO</x:v>
      </x:c>
      <x:c r="G56" s="1" t="str">
        <x:v>Tiếp tục</x:v>
      </x:c>
      <x:c r="H56" s="1" t="str">
        <x:v>Payment PENDING; mở gateway</x:v>
      </x:c>
      <x:c r="I56" s="1" t="str">
        <x:v>P1</x:v>
      </x:c>
      <x:c r="J56" s="1" t="str">
        <x:v>Integration</x:v>
      </x:c>
      <x:c r="K56" s="1" t="str">
        <x:v>Not Run</x:v>
      </x:c>
      <x:c r="L56" s="1" t="str"/>
      <x:c r="M56" s="1" t="str"/>
      <x:c r="N56" s="11" t="str"/>
      <x:c r="O56" s="1" t="str"/>
    </x:row>
    <x:row r="57">
      <x:c r="A57" s="1" t="str">
        <x:v>PAY-07</x:v>
      </x:c>
      <x:c r="B57" s="1" t="str">
        <x:v>Payment</x:v>
      </x:c>
      <x:c r="C57" s="1" t="str">
        <x:v>A2</x:v>
      </x:c>
      <x:c r="D57" s="1" t="str">
        <x:v>Method sai</x:v>
      </x:c>
      <x:c r="E57" s="1" t="str">
        <x:v>Booking payable</x:v>
      </x:c>
      <x:c r="F57" s="1" t="str">
        <x:v>CASH</x:v>
      </x:c>
      <x:c r="G57" s="1" t="str">
        <x:v>POST start</x:v>
      </x:c>
      <x:c r="H57" s="1" t="str">
        <x:v>Từ chối</x:v>
      </x:c>
      <x:c r="I57" s="1" t="str">
        <x:v>P1</x:v>
      </x:c>
      <x:c r="J57" s="1" t="str">
        <x:v>Negative</x:v>
      </x:c>
      <x:c r="K57" s="1" t="str">
        <x:v>Not Run</x:v>
      </x:c>
      <x:c r="L57" s="1" t="str"/>
      <x:c r="M57" s="1" t="str"/>
      <x:c r="N57" s="11" t="str"/>
      <x:c r="O57" s="1" t="str"/>
    </x:row>
    <x:row r="58">
      <x:c r="A58" s="1" t="str">
        <x:v>PAY-08</x:v>
      </x:c>
      <x:c r="B58" s="1" t="str">
        <x:v>Payment Result</x:v>
      </x:c>
      <x:c r="C58" s="1" t="str">
        <x:v>UC-C13</x:v>
      </x:c>
      <x:c r="D58" s="1" t="str">
        <x:v>Thành công</x:v>
      </x:c>
      <x:c r="E58" s="1" t="str">
        <x:v>Payment pending; booking còn hạn</x:v>
      </x:c>
      <x:c r="F58" s="1" t="str">
        <x:v>SUCCESS</x:v>
      </x:c>
      <x:c r="G58" s="1" t="str">
        <x:v>Hoàn tất</x:v>
      </x:c>
      <x:c r="H58" s="1" t="str">
        <x:v>Payment SUCCESS; booking PAID; ticket BOOKED</x:v>
      </x:c>
      <x:c r="I58" s="1" t="str">
        <x:v>P0</x:v>
      </x:c>
      <x:c r="J58" s="1" t="str">
        <x:v>End-to-End</x:v>
      </x:c>
      <x:c r="K58" s="1" t="str">
        <x:v>Not Run</x:v>
      </x:c>
      <x:c r="L58" s="1" t="str"/>
      <x:c r="M58" s="1" t="str"/>
      <x:c r="N58" s="11" t="str"/>
      <x:c r="O58" s="1" t="str"/>
    </x:row>
    <x:row r="59">
      <x:c r="A59" s="1" t="str">
        <x:v>PAY-09</x:v>
      </x:c>
      <x:c r="B59" s="1" t="str">
        <x:v>Payment Result</x:v>
      </x:c>
      <x:c r="C59" s="1" t="str">
        <x:v>A1</x:v>
      </x:c>
      <x:c r="D59" s="1" t="str">
        <x:v>Thất bại</x:v>
      </x:c>
      <x:c r="E59" s="1" t="str">
        <x:v>Payment pending</x:v>
      </x:c>
      <x:c r="F59" s="1" t="str">
        <x:v>FAILED</x:v>
      </x:c>
      <x:c r="G59" s="1" t="str">
        <x:v>Hoàn tất</x:v>
      </x:c>
      <x:c r="H59" s="1" t="str">
        <x:v>FAILED; booking CANCELLED; nhả ghế</x:v>
      </x:c>
      <x:c r="I59" s="1" t="str">
        <x:v>P0</x:v>
      </x:c>
      <x:c r="J59" s="1" t="str">
        <x:v>End-to-End</x:v>
      </x:c>
      <x:c r="K59" s="1" t="str">
        <x:v>Not Run</x:v>
      </x:c>
      <x:c r="L59" s="1" t="str"/>
      <x:c r="M59" s="1" t="str"/>
      <x:c r="N59" s="11" t="str"/>
      <x:c r="O59" s="1" t="str"/>
    </x:row>
    <x:row r="60">
      <x:c r="A60" s="1" t="str">
        <x:v>PAY-10</x:v>
      </x:c>
      <x:c r="B60" s="1" t="str">
        <x:v>Payment Result</x:v>
      </x:c>
      <x:c r="C60" s="1" t="str">
        <x:v>A2</x:v>
      </x:c>
      <x:c r="D60" s="1" t="str">
        <x:v>Hủy</x:v>
      </x:c>
      <x:c r="E60" s="1" t="str">
        <x:v>Payment pending</x:v>
      </x:c>
      <x:c r="F60" s="1" t="str">
        <x:v>CANCELLED</x:v>
      </x:c>
      <x:c r="G60" s="1" t="str">
        <x:v>Hủy</x:v>
      </x:c>
      <x:c r="H60" s="1" t="str">
        <x:v>Payment CANCELLED; booking PENDING</x:v>
      </x:c>
      <x:c r="I60" s="1" t="str">
        <x:v>P0</x:v>
      </x:c>
      <x:c r="J60" s="1" t="str">
        <x:v>End-to-End</x:v>
      </x:c>
      <x:c r="K60" s="1" t="str">
        <x:v>Not Run</x:v>
      </x:c>
      <x:c r="L60" s="1" t="str"/>
      <x:c r="M60" s="1" t="str"/>
      <x:c r="N60" s="11" t="str"/>
      <x:c r="O60" s="1" t="str"/>
    </x:row>
    <x:row r="61">
      <x:c r="A61" s="1" t="str">
        <x:v>PAY-11</x:v>
      </x:c>
      <x:c r="B61" s="1" t="str">
        <x:v>Payment Result</x:v>
      </x:c>
      <x:c r="C61" s="1" t="str">
        <x:v>Retry</x:v>
      </x:c>
      <x:c r="D61" s="1" t="str">
        <x:v>Thử lại sau hủy</x:v>
      </x:c>
      <x:c r="E61" s="1" t="str">
        <x:v>PENDING còn hạn</x:v>
      </x:c>
      <x:c r="F61" s="1" t="str">
        <x:v>Payment lần 2</x:v>
      </x:c>
      <x:c r="G61" s="1" t="str">
        <x:v>Thanh toán lại</x:v>
      </x:c>
      <x:c r="H61" s="1" t="str">
        <x:v>Tạo giao dịch mới</x:v>
      </x:c>
      <x:c r="I61" s="1" t="str">
        <x:v>P1</x:v>
      </x:c>
      <x:c r="J61" s="1" t="str">
        <x:v>Functional</x:v>
      </x:c>
      <x:c r="K61" s="1" t="str">
        <x:v>Not Run</x:v>
      </x:c>
      <x:c r="L61" s="1" t="str"/>
      <x:c r="M61" s="1" t="str"/>
      <x:c r="N61" s="11" t="str"/>
      <x:c r="O61" s="1" t="str"/>
    </x:row>
    <x:row r="62">
      <x:c r="A62" s="1" t="str">
        <x:v>PAY-12</x:v>
      </x:c>
      <x:c r="B62" s="1" t="str">
        <x:v>Payment Result</x:v>
      </x:c>
      <x:c r="C62" s="1" t="str">
        <x:v>Idempotency</x:v>
      </x:c>
      <x:c r="D62" s="1" t="str">
        <x:v>Callback lặp</x:v>
      </x:c>
      <x:c r="E62" s="1" t="str">
        <x:v>Payment SUCCESS</x:v>
      </x:c>
      <x:c r="F62" s="1" t="str">
        <x:v>SUCCESS lần 2</x:v>
      </x:c>
      <x:c r="G62" s="1" t="str">
        <x:v>Gửi lại</x:v>
      </x:c>
      <x:c r="H62" s="1" t="str">
        <x:v>Không nhân đôi vé</x:v>
      </x:c>
      <x:c r="I62" s="1" t="str">
        <x:v>P0</x:v>
      </x:c>
      <x:c r="J62" s="1" t="str">
        <x:v>Security</x:v>
      </x:c>
      <x:c r="K62" s="1" t="str">
        <x:v>Not Run</x:v>
      </x:c>
      <x:c r="L62" s="1" t="str"/>
      <x:c r="M62" s="1" t="str"/>
      <x:c r="N62" s="11" t="str"/>
      <x:c r="O62" s="1" t="str"/>
    </x:row>
    <x:row r="63">
      <x:c r="A63" s="1" t="str">
        <x:v>PAY-13</x:v>
      </x:c>
      <x:c r="B63" s="1" t="str">
        <x:v>Payment Result</x:v>
      </x:c>
      <x:c r="C63" s="1" t="str">
        <x:v>A3</x:v>
      </x:c>
      <x:c r="D63" s="1" t="str">
        <x:v>orderCode giả</x:v>
      </x:c>
      <x:c r="E63" s="1" t="str">
        <x:v>Đã login</x:v>
      </x:c>
      <x:c r="F63" s="1" t="str">
        <x:v>UNKNOWN</x:v>
      </x:c>
      <x:c r="G63" s="1" t="str">
        <x:v>Mở/process</x:v>
      </x:c>
      <x:c r="H63" s="1" t="str">
        <x:v>Từ chối</x:v>
      </x:c>
      <x:c r="I63" s="1" t="str">
        <x:v>P1</x:v>
      </x:c>
      <x:c r="J63" s="1" t="str">
        <x:v>Negative</x:v>
      </x:c>
      <x:c r="K63" s="1" t="str">
        <x:v>Not Run</x:v>
      </x:c>
      <x:c r="L63" s="1" t="str"/>
      <x:c r="M63" s="1" t="str"/>
      <x:c r="N63" s="11" t="str"/>
      <x:c r="O63" s="1" t="str"/>
    </x:row>
    <x:row r="64">
      <x:c r="A64" s="1" t="str">
        <x:v>PAY-14</x:v>
      </x:c>
      <x:c r="B64" s="1" t="str">
        <x:v>Payment Result</x:v>
      </x:c>
      <x:c r="C64" s="1" t="str">
        <x:v>A4</x:v>
      </x:c>
      <x:c r="D64" s="1" t="str">
        <x:v>Hết hạn khi callback</x:v>
      </x:c>
      <x:c r="E64" s="1" t="str">
        <x:v>Payment pending; booking hết hạn</x:v>
      </x:c>
      <x:c r="F64" s="1" t="str">
        <x:v>SUCCESS muộn</x:v>
      </x:c>
      <x:c r="G64" s="1" t="str">
        <x:v>Callback</x:v>
      </x:c>
      <x:c r="H64" s="1" t="str">
        <x:v>Không phát hành vé; EXPIRED</x:v>
      </x:c>
      <x:c r="I64" s="1" t="str">
        <x:v>P0</x:v>
      </x:c>
      <x:c r="J64" s="1" t="str">
        <x:v>Timeout</x:v>
      </x:c>
      <x:c r="K64" s="1" t="str">
        <x:v>Not Run</x:v>
      </x:c>
      <x:c r="L64" s="1" t="str"/>
      <x:c r="M64" s="1" t="str"/>
      <x:c r="N64" s="11" t="str"/>
      <x:c r="O64" s="1" t="str"/>
    </x:row>
    <x:row r="65">
      <x:c r="A65" s="1" t="str">
        <x:v>TKT-01</x:v>
      </x:c>
      <x:c r="B65" s="1" t="str">
        <x:v>E-ticket</x:v>
      </x:c>
      <x:c r="C65" s="1" t="str">
        <x:v>Business rule</x:v>
      </x:c>
      <x:c r="D65" s="1" t="str">
        <x:v>Mở vé điện tử</x:v>
      </x:c>
      <x:c r="E65" s="1" t="str">
        <x:v>Booking PAID</x:v>
      </x:c>
      <x:c r="F65" s="1" t="str">
        <x:v>paid id</x:v>
      </x:c>
      <x:c r="G65" s="1" t="str">
        <x:v>Bấm Xem vé</x:v>
      </x:c>
      <x:c r="H65" s="1" t="str">
        <x:v>Hiện phim, suất, phòng, ghế, tiền, mã</x:v>
      </x:c>
      <x:c r="I65" s="1" t="str">
        <x:v>P0</x:v>
      </x:c>
      <x:c r="J65" s="1" t="str">
        <x:v>Functional</x:v>
      </x:c>
      <x:c r="K65" s="1" t="str">
        <x:v>Not Run</x:v>
      </x:c>
      <x:c r="L65" s="1" t="str"/>
      <x:c r="M65" s="1" t="str"/>
      <x:c r="N65" s="11" t="str"/>
      <x:c r="O65" s="1" t="str"/>
    </x:row>
    <x:row r="66">
      <x:c r="A66" s="1" t="str">
        <x:v>TKT-02</x:v>
      </x:c>
      <x:c r="B66" s="1" t="str">
        <x:v>E-ticket</x:v>
      </x:c>
      <x:c r="C66" s="1" t="str">
        <x:v>Authorization</x:v>
      </x:c>
      <x:c r="D66" s="1" t="str">
        <x:v>Vé chưa thanh toán</x:v>
      </x:c>
      <x:c r="E66" s="1" t="str">
        <x:v>PENDING/CANCELLED</x:v>
      </x:c>
      <x:c r="F66" s="1" t="str">
        <x:v>unpaid id</x:v>
      </x:c>
      <x:c r="G66" s="1" t="str">
        <x:v>Mở URL</x:v>
      </x:c>
      <x:c r="H66" s="1" t="str">
        <x:v>Từ chối phát hành</x:v>
      </x:c>
      <x:c r="I66" s="1" t="str">
        <x:v>P0</x:v>
      </x:c>
      <x:c r="J66" s="1" t="str">
        <x:v>Security</x:v>
      </x:c>
      <x:c r="K66" s="1" t="str">
        <x:v>Not Run</x:v>
      </x:c>
      <x:c r="L66" s="1" t="str"/>
      <x:c r="M66" s="1" t="str"/>
      <x:c r="N66" s="11" t="str"/>
      <x:c r="O66" s="1" t="str"/>
    </x:row>
    <x:row r="67">
      <x:c r="A67" s="1" t="str">
        <x:v>TKT-03</x:v>
      </x:c>
      <x:c r="B67" s="1" t="str">
        <x:v>E-ticket</x:v>
      </x:c>
      <x:c r="C67" s="1" t="str">
        <x:v>Authorization</x:v>
      </x:c>
      <x:c r="D67" s="1" t="str">
        <x:v>Vé người khác</x:v>
      </x:c>
      <x:c r="E67" s="1" t="str">
        <x:v>Vé account A</x:v>
      </x:c>
      <x:c r="F67" s="1" t="str">
        <x:v>Account B</x:v>
      </x:c>
      <x:c r="G67" s="1" t="str">
        <x:v>Mở URL</x:v>
      </x:c>
      <x:c r="H67" s="1" t="str">
        <x:v>Từ chối</x:v>
      </x:c>
      <x:c r="I67" s="1" t="str">
        <x:v>P0</x:v>
      </x:c>
      <x:c r="J67" s="1" t="str">
        <x:v>Security</x:v>
      </x:c>
      <x:c r="K67" s="1" t="str">
        <x:v>Not Run</x:v>
      </x:c>
      <x:c r="L67" s="1" t="str"/>
      <x:c r="M67" s="1" t="str"/>
      <x:c r="N67" s="11" t="str"/>
      <x:c r="O67" s="1" t="str"/>
    </x:row>
    <x:row r="68">
      <x:c r="A68" s="1" t="str">
        <x:v>DB-01</x:v>
      </x:c>
      <x:c r="B68" s="1" t="str">
        <x:v>Database</x:v>
      </x:c>
      <x:c r="C68" s="1" t="str">
        <x:v>Constraint</x:v>
      </x:c>
      <x:c r="D68" s="1" t="str">
        <x:v>Unique showtime-seat</x:v>
      </x:c>
      <x:c r="E68" s="1" t="str">
        <x:v>Có table booking_tickets</x:v>
      </x:c>
      <x:c r="F68" s="1" t="str">
        <x:v>Trùng showtime+seat</x:v>
      </x:c>
      <x:c r="G68" s="1" t="str">
        <x:v>Insert trùng</x:v>
      </x:c>
      <x:c r="H68" s="1" t="str">
        <x:v>DB từ chối unique</x:v>
      </x:c>
      <x:c r="I68" s="1" t="str">
        <x:v>P0</x:v>
      </x:c>
      <x:c r="J68" s="1" t="str">
        <x:v>Database</x:v>
      </x:c>
      <x:c r="K68" s="1" t="str">
        <x:v>Not Run</x:v>
      </x:c>
      <x:c r="L68" s="1" t="str"/>
      <x:c r="M68" s="1" t="str"/>
      <x:c r="N68" s="11" t="str"/>
      <x:c r="O68" s="1" t="str"/>
    </x:row>
    <x:row r="69">
      <x:c r="A69" s="1" t="str">
        <x:v>DB-02</x:v>
      </x:c>
      <x:c r="B69" s="1" t="str">
        <x:v>Database</x:v>
      </x:c>
      <x:c r="C69" s="1" t="str">
        <x:v>Audit</x:v>
      </x:c>
      <x:c r="D69" s="1" t="str">
        <x:v>Lưu payment audit</x:v>
      </x:c>
      <x:c r="E69" s="1" t="str">
        <x:v>Đã xử lý payment</x:v>
      </x:c>
      <x:c r="F69" s="1" t="str">
        <x:v>Các result</x:v>
      </x:c>
      <x:c r="G69" s="1" t="str">
        <x:v>Query payments</x:v>
      </x:c>
      <x:c r="H69" s="1" t="str">
        <x:v>Đủ method/order/amount/status/response/time</x:v>
      </x:c>
      <x:c r="I69" s="1" t="str">
        <x:v>P1</x:v>
      </x:c>
      <x:c r="J69" s="1" t="str">
        <x:v>Database</x:v>
      </x:c>
      <x:c r="K69" s="1" t="str">
        <x:v>Not Run</x:v>
      </x:c>
      <x:c r="L69" s="1" t="str"/>
      <x:c r="M69" s="1" t="str"/>
      <x:c r="N69" s="11" t="str"/>
      <x:c r="O69" s="1" t="str"/>
    </x:row>
    <x:row r="70">
      <x:c r="A70" s="1" t="str">
        <x:v>DB-03</x:v>
      </x:c>
      <x:c r="B70" s="1" t="str">
        <x:v>Database</x:v>
      </x:c>
      <x:c r="C70" s="1" t="str">
        <x:v>Consistency</x:v>
      </x:c>
      <x:c r="D70" s="1" t="str">
        <x:v>Đối soát tiền</x:v>
      </x:c>
      <x:c r="E70" s="1" t="str">
        <x:v>Booking hoàn chỉnh</x:v>
      </x:c>
      <x:c r="F70" s="1" t="str">
        <x:v>bookingId</x:v>
      </x:c>
      <x:c r="G70" s="1" t="str">
        <x:v>So DB</x:v>
      </x:c>
      <x:c r="H70" s="1" t="str">
        <x:v>total=ticket+combo-discount</x:v>
      </x:c>
      <x:c r="I70" s="1" t="str">
        <x:v>P0</x:v>
      </x:c>
      <x:c r="J70" s="1" t="str">
        <x:v>Database</x:v>
      </x:c>
      <x:c r="K70" s="1" t="str">
        <x:v>Not Run</x:v>
      </x:c>
      <x:c r="L70" s="1" t="str"/>
      <x:c r="M70" s="1" t="str"/>
      <x:c r="N70" s="11" t="str"/>
      <x:c r="O70" s="1" t="str"/>
    </x:row>
    <x:row r="71">
      <x:c r="A71" s="1" t="str">
        <x:v>SEC-01</x:v>
      </x:c>
      <x:c r="B71" s="1" t="str">
        <x:v>Security</x:v>
      </x:c>
      <x:c r="C71" s="1" t="str">
        <x:v>Tampering</x:v>
      </x:c>
      <x:c r="D71" s="1" t="str">
        <x:v>Sửa amount client</x:v>
      </x:c>
      <x:c r="E71" s="1" t="str">
        <x:v>Booking đã tạo</x:v>
      </x:c>
      <x:c r="F71" s="1" t="str">
        <x:v>amount giả</x:v>
      </x:c>
      <x:c r="G71" s="1" t="str">
        <x:v>POST payment</x:v>
      </x:c>
      <x:c r="H71" s="1" t="str">
        <x:v>Server dùng amount DB</x:v>
      </x:c>
      <x:c r="I71" s="1" t="str">
        <x:v>P0</x:v>
      </x:c>
      <x:c r="J71" s="1" t="str">
        <x:v>Security</x:v>
      </x:c>
      <x:c r="K71" s="1" t="str">
        <x:v>Not Run</x:v>
      </x:c>
      <x:c r="L71" s="1" t="str"/>
      <x:c r="M71" s="1" t="str"/>
      <x:c r="N71" s="11" t="str"/>
      <x:c r="O71" s="1" t="str"/>
    </x:row>
    <x:row r="72">
      <x:c r="A72" s="1" t="str">
        <x:v>SEC-02</x:v>
      </x:c>
      <x:c r="B72" s="1" t="str">
        <x:v>Security</x:v>
      </x:c>
      <x:c r="C72" s="1" t="str">
        <x:v>Tampering</x:v>
      </x:c>
      <x:c r="D72" s="1" t="str">
        <x:v>Sửa seatId</x:v>
      </x:c>
      <x:c r="E72" s="1" t="str">
        <x:v>Seat phòng khác</x:v>
      </x:c>
      <x:c r="F72" s="1" t="str">
        <x:v>seatId giả</x:v>
      </x:c>
      <x:c r="G72" s="1" t="str">
        <x:v>POST seats</x:v>
      </x:c>
      <x:c r="H72" s="1" t="str">
        <x:v>Validation chặn</x:v>
      </x:c>
      <x:c r="I72" s="1" t="str">
        <x:v>P0</x:v>
      </x:c>
      <x:c r="J72" s="1" t="str">
        <x:v>Security</x:v>
      </x:c>
      <x:c r="K72" s="1" t="str">
        <x:v>Not Run</x:v>
      </x:c>
      <x:c r="L72" s="1" t="str"/>
      <x:c r="M72" s="1" t="str"/>
      <x:c r="N72" s="11" t="str"/>
      <x:c r="O72" s="1" t="str"/>
    </x:row>
    <x:row r="73">
      <x:c r="A73" s="1" t="str">
        <x:v>SEC-03</x:v>
      </x:c>
      <x:c r="B73" s="1" t="str">
        <x:v>Security</x:v>
      </x:c>
      <x:c r="C73" s="1" t="str">
        <x:v>Open redirect</x:v>
      </x:c>
      <x:c r="D73" s="1" t="str">
        <x:v>Redirect độc hại</x:v>
      </x:c>
      <x:c r="E73" s="1" t="str">
        <x:v>Chưa login</x:v>
      </x:c>
      <x:c r="F73" s="1" t="str">
        <x:v>//evil.com</x:v>
      </x:c>
      <x:c r="G73" s="1" t="str">
        <x:v>Đăng nhập</x:v>
      </x:c>
      <x:c r="H73" s="1" t="str">
        <x:v>Chỉ redirect nội bộ</x:v>
      </x:c>
      <x:c r="I73" s="1" t="str">
        <x:v>P1</x:v>
      </x:c>
      <x:c r="J73" s="1" t="str">
        <x:v>Security</x:v>
      </x:c>
      <x:c r="K73" s="1" t="str">
        <x:v>Not Run</x:v>
      </x:c>
      <x:c r="L73" s="1" t="str"/>
      <x:c r="M73" s="1" t="str"/>
      <x:c r="N73" s="11" t="str"/>
      <x:c r="O73" s="1" t="str"/>
    </x:row>
  </x:sheetData>
  <x:mergeCells>
    <x:mergeCell ref="A1:O1"/>
    <x:mergeCell ref="A2:O2"/>
  </x:mergeCells>
  <x:conditionalFormatting sqref="K5:K73">
    <x:cfRule type="containsText" dxfId="0" priority="1" operator="containsText" text="Passed"/>
    <x:cfRule type="containsText" dxfId="1" priority="2" operator="containsText" text="Failed"/>
    <x:cfRule type="containsText" dxfId="2" priority="3" operator="containsText" text="Blocked"/>
  </x:conditionalFormatting>
  <x:dataValidations count="2">
    <x:dataValidation type="list" sqref="K5:K73">
      <x:formula1>"Not Run,Passed,Failed,Blocked,N/A"</x:formula1>
    </x:dataValidation>
    <x:dataValidation type="list" sqref="I5:I73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332cd6087142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BOOKING TEST EXECUTION DASHBOARD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Metric</x:v>
      </x:c>
      <x:c r="B3" s="14" t="str">
        <x:v>Value</x:v>
      </x:c>
      <x:c r="D3" s="14" t="str">
        <x:v>Quality Gate</x:v>
      </x:c>
      <x:c r="E3" s="14" t="str">
        <x:v>Value</x:v>
      </x:c>
    </x:row>
    <x:row r="4">
      <x:c r="A4" t="str">
        <x:v>Total Test Cases</x:v>
      </x:c>
      <x:c r="B4" t="n">
        <x:f>COUNTA('Test Cases'!$A$5:$A$73)</x:f>
        <x:v>69</x:v>
      </x:c>
      <x:c r="D4" t="str">
        <x:v>Execution Rate</x:v>
      </x:c>
      <x:c r="E4" s="12" t="n">
        <x:f>IF(B4=0,0,(B4-B8)/B4)</x:f>
        <x:v>0</x:v>
      </x:c>
    </x:row>
    <x:row r="5">
      <x:c r="A5" t="str">
        <x:v>Passed</x:v>
      </x:c>
      <x:c r="B5" t="n">
        <x:f>COUNTIF('Test Cases'!$K$5:$K$73,"Passed")</x:f>
        <x:v>0</x:v>
      </x:c>
      <x:c r="D5" t="str">
        <x:v>Pass Rate</x:v>
      </x:c>
      <x:c r="E5" s="12" t="n">
        <x:f>IF((B5+B6)=0,0,B5/(B5+B6))</x:f>
        <x:v>0</x:v>
      </x:c>
    </x:row>
    <x:row r="6">
      <x:c r="A6" t="str">
        <x:v>Failed</x:v>
      </x:c>
      <x:c r="B6" t="n">
        <x:f>COUNTIF('Test Cases'!$K$5:$K$73,"Failed")</x:f>
        <x:v>0</x:v>
      </x:c>
      <x:c r="D6" t="str">
        <x:v>Open Defects</x:v>
      </x:c>
      <x:c r="E6" t="n">
        <x:f>B6+B7</x:f>
        <x:v>0</x:v>
      </x:c>
    </x:row>
    <x:row r="7">
      <x:c r="A7" t="str">
        <x:v>Blocked</x:v>
      </x:c>
      <x:c r="B7" t="n">
        <x:f>COUNTIF('Test Cases'!$K$5:$K$73,"Blocked")</x:f>
        <x:v>0</x:v>
      </x:c>
      <x:c r="D7" t="str">
        <x:v>Release Decision</x:v>
      </x:c>
      <x:c r="E7" t="str">
        <x:f>IF(AND(E5&gt;=0.95,B6=0,B7=0),"READY","NOT READY")</x:f>
        <x:v>NOT READY</x:v>
      </x:c>
    </x:row>
    <x:row r="8">
      <x:c r="A8" t="str">
        <x:v>Not Run</x:v>
      </x:c>
      <x:c r="B8" t="n">
        <x:f>COUNTIF('Test Cases'!$K$5:$K$73,"Not Run")</x:f>
        <x:v>69</x:v>
      </x:c>
    </x:row>
    <x:row r="11">
      <x:c r="A11" s="14" t="str">
        <x:v>Module</x:v>
      </x:c>
      <x:c r="B11" s="14" t="str">
        <x:v>Total</x:v>
      </x:c>
      <x:c r="C11" s="14" t="str">
        <x:v>Passed</x:v>
      </x:c>
      <x:c r="D11" s="14" t="str">
        <x:v>Failed</x:v>
      </x:c>
      <x:c r="E11" s="14" t="str">
        <x:v>Remaining</x:v>
      </x:c>
    </x:row>
    <x:row r="12">
      <x:c r="A12" t="str">
        <x:v>Authentication</x:v>
      </x:c>
      <x:c r="B12" t="n">
        <x:f>COUNTIF('Test Cases'!$B$5:$B$73,A12)</x:f>
        <x:v>5</x:v>
      </x:c>
      <x:c r="C12" t="n">
        <x:f>COUNTIFS('Test Cases'!$B$5:$B$73,A12,'Test Cases'!$K$5:$K$73,"Passed")</x:f>
        <x:v>0</x:v>
      </x:c>
      <x:c r="D12" t="n">
        <x:f>COUNTIFS('Test Cases'!$B$5:$B$73,A12,'Test Cases'!$K$5:$K$73,"Failed")</x:f>
        <x:v>0</x:v>
      </x:c>
      <x:c r="E12" t="n">
        <x:f>B12-C12-D12</x:f>
        <x:v>5</x:v>
      </x:c>
    </x:row>
    <x:row r="13">
      <x:c r="A13" t="str">
        <x:v>Select Showtime</x:v>
      </x:c>
      <x:c r="B13" t="n">
        <x:f>COUNTIF('Test Cases'!$B$5:$B$73,A13)</x:f>
        <x:v>10</x:v>
      </x:c>
      <x:c r="C13" t="n">
        <x:f>COUNTIFS('Test Cases'!$B$5:$B$73,A13,'Test Cases'!$K$5:$K$73,"Passed")</x:f>
        <x:v>0</x:v>
      </x:c>
      <x:c r="D13" t="n">
        <x:f>COUNTIFS('Test Cases'!$B$5:$B$73,A13,'Test Cases'!$K$5:$K$73,"Failed")</x:f>
        <x:v>0</x:v>
      </x:c>
      <x:c r="E13" t="n">
        <x:f>B13-C13-D13</x:f>
        <x:v>10</x:v>
      </x:c>
    </x:row>
    <x:row r="14">
      <x:c r="A14" t="str">
        <x:v>Seat Selection</x:v>
      </x:c>
      <x:c r="B14" t="n">
        <x:f>COUNTIF('Test Cases'!$B$5:$B$73,A14)</x:f>
        <x:v>15</x:v>
      </x:c>
      <x:c r="C14" t="n">
        <x:f>COUNTIFS('Test Cases'!$B$5:$B$73,A14,'Test Cases'!$K$5:$K$73,"Passed")</x:f>
        <x:v>0</x:v>
      </x:c>
      <x:c r="D14" t="n">
        <x:f>COUNTIFS('Test Cases'!$B$5:$B$73,A14,'Test Cases'!$K$5:$K$73,"Failed")</x:f>
        <x:v>0</x:v>
      </x:c>
      <x:c r="E14" t="n">
        <x:f>B14-C14-D14</x:f>
        <x:v>15</x:v>
      </x:c>
    </x:row>
    <x:row r="15">
      <x:c r="A15" t="str">
        <x:v>Combo Selection</x:v>
      </x:c>
      <x:c r="B15" t="n">
        <x:f>COUNTIF('Test Cases'!$B$5:$B$73,A15)</x:f>
        <x:v>8</x:v>
      </x:c>
      <x:c r="C15" t="n">
        <x:f>COUNTIFS('Test Cases'!$B$5:$B$73,A15,'Test Cases'!$K$5:$K$73,"Passed")</x:f>
        <x:v>0</x:v>
      </x:c>
      <x:c r="D15" t="n">
        <x:f>COUNTIFS('Test Cases'!$B$5:$B$73,A15,'Test Cases'!$K$5:$K$73,"Failed")</x:f>
        <x:v>0</x:v>
      </x:c>
      <x:c r="E15" t="n">
        <x:f>B15-C15-D15</x:f>
        <x:v>8</x:v>
      </x:c>
    </x:row>
    <x:row r="16">
      <x:c r="A16" t="str">
        <x:v>Booking Summary</x:v>
      </x:c>
      <x:c r="B16" t="n">
        <x:f>COUNTIF('Test Cases'!$B$5:$B$73,A16)</x:f>
        <x:v>8</x:v>
      </x:c>
      <x:c r="C16" t="n">
        <x:f>COUNTIFS('Test Cases'!$B$5:$B$73,A16,'Test Cases'!$K$5:$K$73,"Passed")</x:f>
        <x:v>0</x:v>
      </x:c>
      <x:c r="D16" t="n">
        <x:f>COUNTIFS('Test Cases'!$B$5:$B$73,A16,'Test Cases'!$K$5:$K$73,"Failed")</x:f>
        <x:v>0</x:v>
      </x:c>
      <x:c r="E16" t="n">
        <x:f>B16-C16-D16</x:f>
        <x:v>8</x:v>
      </x:c>
    </x:row>
    <x:row r="17">
      <x:c r="A17" t="str">
        <x:v>Payment</x:v>
      </x:c>
      <x:c r="B17" t="n">
        <x:f>COUNTIF('Test Cases'!$B$5:$B$73,A17)</x:f>
        <x:v>7</x:v>
      </x:c>
      <x:c r="C17" t="n">
        <x:f>COUNTIFS('Test Cases'!$B$5:$B$73,A17,'Test Cases'!$K$5:$K$73,"Passed")</x:f>
        <x:v>0</x:v>
      </x:c>
      <x:c r="D17" t="n">
        <x:f>COUNTIFS('Test Cases'!$B$5:$B$73,A17,'Test Cases'!$K$5:$K$73,"Failed")</x:f>
        <x:v>0</x:v>
      </x:c>
      <x:c r="E17" t="n">
        <x:f>B17-C17-D17</x:f>
        <x:v>7</x:v>
      </x:c>
    </x:row>
    <x:row r="18">
      <x:c r="A18" t="str">
        <x:v>Payment Result</x:v>
      </x:c>
      <x:c r="B18" t="n">
        <x:f>COUNTIF('Test Cases'!$B$5:$B$73,A18)</x:f>
        <x:v>7</x:v>
      </x:c>
      <x:c r="C18" t="n">
        <x:f>COUNTIFS('Test Cases'!$B$5:$B$73,A18,'Test Cases'!$K$5:$K$73,"Passed")</x:f>
        <x:v>0</x:v>
      </x:c>
      <x:c r="D18" t="n">
        <x:f>COUNTIFS('Test Cases'!$B$5:$B$73,A18,'Test Cases'!$K$5:$K$73,"Failed")</x:f>
        <x:v>0</x:v>
      </x:c>
      <x:c r="E18" t="n">
        <x:f>B18-C18-D18</x:f>
        <x:v>7</x:v>
      </x:c>
    </x:row>
    <x:row r="19">
      <x:c r="A19" t="str">
        <x:v>E-ticket</x:v>
      </x:c>
      <x:c r="B19" t="n">
        <x:f>COUNTIF('Test Cases'!$B$5:$B$73,A19)</x:f>
        <x:v>3</x:v>
      </x:c>
      <x:c r="C19" t="n">
        <x:f>COUNTIFS('Test Cases'!$B$5:$B$73,A19,'Test Cases'!$K$5:$K$73,"Passed")</x:f>
        <x:v>0</x:v>
      </x:c>
      <x:c r="D19" t="n">
        <x:f>COUNTIFS('Test Cases'!$B$5:$B$73,A19,'Test Cases'!$K$5:$K$73,"Failed")</x:f>
        <x:v>0</x:v>
      </x:c>
      <x:c r="E19" t="n">
        <x:f>B19-C19-D19</x:f>
        <x:v>3</x:v>
      </x:c>
    </x:row>
    <x:row r="20">
      <x:c r="A20" t="str">
        <x:v>Database</x:v>
      </x:c>
      <x:c r="B20" t="n">
        <x:f>COUNTIF('Test Cases'!$B$5:$B$73,A20)</x:f>
        <x:v>3</x:v>
      </x:c>
      <x:c r="C20" t="n">
        <x:f>COUNTIFS('Test Cases'!$B$5:$B$73,A20,'Test Cases'!$K$5:$K$73,"Passed")</x:f>
        <x:v>0</x:v>
      </x:c>
      <x:c r="D20" t="n">
        <x:f>COUNTIFS('Test Cases'!$B$5:$B$73,A20,'Test Cases'!$K$5:$K$73,"Failed")</x:f>
        <x:v>0</x:v>
      </x:c>
      <x:c r="E20" t="n">
        <x:f>B20-C20-D20</x:f>
        <x:v>3</x:v>
      </x:c>
    </x:row>
    <x:row r="21">
      <x:c r="A21" t="str">
        <x:v>Security</x:v>
      </x:c>
      <x:c r="B21" t="n">
        <x:f>COUNTIF('Test Cases'!$B$5:$B$73,A21)</x:f>
        <x:v>3</x:v>
      </x:c>
      <x:c r="C21" t="n">
        <x:f>COUNTIFS('Test Cases'!$B$5:$B$73,A21,'Test Cases'!$K$5:$K$73,"Passed")</x:f>
        <x:v>0</x:v>
      </x:c>
      <x:c r="D21" t="n">
        <x:f>COUNTIFS('Test Cases'!$B$5:$B$73,A21,'Test Cases'!$K$5:$K$73,"Failed")</x:f>
        <x:v>0</x:v>
      </x:c>
      <x:c r="E21" t="n">
        <x:f>B21-C21-D21</x:f>
        <x:v>3</x:v>
      </x:c>
    </x:row>
  </x:sheetData>
  <x:mergeCells>
    <x:mergeCell ref="A1:H1"/>
  </x:mergeCells>
  <x:conditionalFormatting sqref="E7:E7">
    <x:cfRule type="containsText" dxfId="3" priority="1" operator="containsText" text="READY"/>
    <x:cfRule type="containsText" dxfId="4" priority="2" operator="containsText" text="NOT READY"/>
  </x:conditionalFormatting>
  <x:pageMargins left="0.7" right="0.7" top="0.75" bottom="0.75" header="0.3" footer="0.3"/>
  <x:drawing xmlns:r="http://schemas.openxmlformats.org/officeDocument/2006/relationships" r:id="Rf36633faf3d844e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27" hidden="0" customWidth="1"/>
    <x:col min="5" max="5" width="25" hidden="0" customWidth="1"/>
    <x:col min="6" max="6" width="37" hidden="0" customWidth="1"/>
  </x:cols>
  <x:sheetData>
    <x:row r="1">
      <x:c r="A1" s="16" t="str">
        <x:v>BOOKING TEST DATA &amp; ENVIRONMENT</x:v>
      </x:c>
      <x:c r="B1" s="16"/>
      <x:c r="C1" s="16"/>
      <x:c r="D1" s="16"/>
      <x:c r="E1" s="16"/>
      <x:c r="F1" s="16"/>
    </x:row>
    <x:row r="3">
      <x:c r="A3" s="9" t="str">
        <x:v>Category</x:v>
      </x:c>
      <x:c r="B3" s="9" t="str">
        <x:v>Name</x:v>
      </x:c>
      <x:c r="C3" s="9" t="str">
        <x:v>Value</x:v>
      </x:c>
      <x:c r="D3" s="9" t="str">
        <x:v>Purpose</x:v>
      </x:c>
      <x:c r="E3" s="9" t="str">
        <x:v>Expected State</x:v>
      </x:c>
      <x:c r="F3" s="9" t="str">
        <x:v>Notes</x:v>
      </x:c>
    </x:row>
    <x:row r="4">
      <x:c r="A4" s="1" t="str">
        <x:v>Environment</x:v>
      </x:c>
      <x:c r="B4" s="1" t="str">
        <x:v>Base URL</x:v>
      </x:c>
      <x:c r="C4" s="1" t="str">
        <x:v>http://localhost:8083</x:v>
      </x:c>
      <x:c r="D4" s="1" t="str">
        <x:v>Application under test</x:v>
      </x:c>
      <x:c r="E4" s="1" t="str">
        <x:v>Running</x:v>
      </x:c>
      <x:c r="F4" s="1" t="str">
        <x:v>Stop old process if port conflict</x:v>
      </x:c>
    </x:row>
    <x:row r="5">
      <x:c r="A5" s="1" t="str">
        <x:v>Database</x:v>
      </x:c>
      <x:c r="B5" s="1" t="str">
        <x:v>SQL Server</x:v>
      </x:c>
      <x:c r="C5" s="1" t="str">
        <x:v>Group3_SWP391</x:v>
      </x:c>
      <x:c r="D5" s="1" t="str">
        <x:v>Persistence</x:v>
      </x:c>
      <x:c r="E5" s="1" t="str">
        <x:v>Connected</x:v>
      </x:c>
      <x:c r="F5" s="1" t="str">
        <x:v>localhost:1433</x:v>
      </x:c>
    </x:row>
    <x:row r="6">
      <x:c r="A6" s="1" t="str">
        <x:v>Account</x:v>
      </x:c>
      <x:c r="B6" s="1" t="str">
        <x:v>Gold</x:v>
      </x:c>
      <x:c r="C6" s="1" t="str">
        <x:v>gold@test.local / Test@123</x:v>
      </x:c>
      <x:c r="D6" s="1" t="str">
        <x:v>Happy path</x:v>
      </x:c>
      <x:c r="E6" s="1" t="str">
        <x:v>Active CUSTOMER</x:v>
      </x:c>
      <x:c r="F6" s="1" t="str">
        <x:v>Primary</x:v>
      </x:c>
    </x:row>
    <x:row r="7">
      <x:c r="A7" s="1" t="str">
        <x:v>Account</x:v>
      </x:c>
      <x:c r="B7" s="1" t="str">
        <x:v>Silver</x:v>
      </x:c>
      <x:c r="C7" s="1" t="str">
        <x:v>silver@test.local / Test@123</x:v>
      </x:c>
      <x:c r="D7" s="1" t="str">
        <x:v>Concurrency/failure</x:v>
      </x:c>
      <x:c r="E7" s="1" t="str">
        <x:v>Active CUSTOMER</x:v>
      </x:c>
      <x:c r="F7" s="1" t="str">
        <x:v>Second session</x:v>
      </x:c>
    </x:row>
    <x:row r="8">
      <x:c r="A8" s="1" t="str">
        <x:v>Account</x:v>
      </x:c>
      <x:c r="B8" s="1" t="str">
        <x:v>Platinum</x:v>
      </x:c>
      <x:c r="C8" s="1" t="str">
        <x:v>plat@test.local / Test@123</x:v>
      </x:c>
      <x:c r="D8" s="1" t="str">
        <x:v>Cancel/retry</x:v>
      </x:c>
      <x:c r="E8" s="1" t="str">
        <x:v>Active CUSTOMER</x:v>
      </x:c>
      <x:c r="F8" s="1" t="str">
        <x:v>Third session</x:v>
      </x:c>
    </x:row>
    <x:row r="9">
      <x:c r="A9" s="1" t="str">
        <x:v>Account</x:v>
      </x:c>
      <x:c r="B9" s="1" t="str">
        <x:v>Locked</x:v>
      </x:c>
      <x:c r="C9" s="1" t="str">
        <x:v>locked@test.local / Test@123</x:v>
      </x:c>
      <x:c r="D9" s="1" t="str">
        <x:v>Negative login</x:v>
      </x:c>
      <x:c r="E9" s="1" t="str">
        <x:v>Locked</x:v>
      </x:c>
      <x:c r="F9" s="1" t="str">
        <x:v>Must reject</x:v>
      </x:c>
    </x:row>
    <x:row r="10">
      <x:c r="A10" s="1" t="str">
        <x:v>Movie</x:v>
      </x:c>
      <x:c r="B10" s="1" t="str">
        <x:v>Now Showing</x:v>
      </x:c>
      <x:c r="C10" s="1" t="str">
        <x:v>movieId=3</x:v>
      </x:c>
      <x:c r="D10" s="1" t="str">
        <x:v>Booking tests</x:v>
      </x:c>
      <x:c r="E10" s="1" t="str">
        <x:v>Active NOW_SHOWING</x:v>
      </x:c>
      <x:c r="F10" s="1" t="str">
        <x:v>Use future showtime</x:v>
      </x:c>
    </x:row>
    <x:row r="11">
      <x:c r="A11" s="1" t="str">
        <x:v>Showtime</x:v>
      </x:c>
      <x:c r="B11" s="1" t="str">
        <x:v>Seed</x:v>
      </x:c>
      <x:c r="C11" s="1" t="str">
        <x:v>showtimeId=3</x:v>
      </x:c>
      <x:c r="D11" s="1" t="str">
        <x:v>Seat/booking</x:v>
      </x:c>
      <x:c r="E11" s="1" t="str">
        <x:v>Future</x:v>
      </x:c>
      <x:c r="F11" s="1" t="str">
        <x:v>Refresh seed if expired</x:v>
      </x:c>
    </x:row>
    <x:row r="12">
      <x:c r="A12" s="1" t="str">
        <x:v>Room</x:v>
      </x:c>
      <x:c r="B12" s="1" t="str">
        <x:v>Active</x:v>
      </x:c>
      <x:c r="C12" s="1" t="str">
        <x:v>Seed Room 01</x:v>
      </x:c>
      <x:c r="D12" s="1" t="str">
        <x:v>Seat layout</x:v>
      </x:c>
      <x:c r="E12" s="1" t="str">
        <x:v>Hoạt động</x:v>
      </x:c>
      <x:c r="F12" s="1" t="str">
        <x:v>std/vip/couple</x:v>
      </x:c>
    </x:row>
    <x:row r="13">
      <x:c r="A13" s="1" t="str">
        <x:v>Voucher</x:v>
      </x:c>
      <x:c r="B13" s="1" t="str">
        <x:v>Valid</x:v>
      </x:c>
      <x:c r="C13" s="1" t="str">
        <x:v>CINEFLOW10</x:v>
      </x:c>
      <x:c r="D13" s="1" t="str">
        <x:v>Discount</x:v>
      </x:c>
      <x:c r="E13" s="1" t="str">
        <x:v>10%, max 50,000 VND</x:v>
      </x:c>
      <x:c r="F13" s="1" t="str">
        <x:v>Case-insensitive</x:v>
      </x:c>
    </x:row>
    <x:row r="14">
      <x:c r="A14" s="1" t="str">
        <x:v>Payment</x:v>
      </x:c>
      <x:c r="B14" s="1" t="str">
        <x:v>VNPay</x:v>
      </x:c>
      <x:c r="C14" s="1" t="str">
        <x:v>VNPAY</x:v>
      </x:c>
      <x:c r="D14" s="1" t="str">
        <x:v>Payment</x:v>
      </x:c>
      <x:c r="E14" s="1" t="str">
        <x:v>Local simulator</x:v>
      </x:c>
      <x:c r="F14" s="1" t="str">
        <x:v>No merchant key</x:v>
      </x:c>
    </x:row>
    <x:row r="15">
      <x:c r="A15" s="1" t="str">
        <x:v>Payment</x:v>
      </x:c>
      <x:c r="B15" s="1" t="str">
        <x:v>MoMo</x:v>
      </x:c>
      <x:c r="C15" s="1" t="str">
        <x:v>MOMO</x:v>
      </x:c>
      <x:c r="D15" s="1" t="str">
        <x:v>Payment</x:v>
      </x:c>
      <x:c r="E15" s="1" t="str">
        <x:v>Local simulator</x:v>
      </x:c>
      <x:c r="F15" s="1" t="str">
        <x:v>No merchant key</x:v>
      </x:c>
    </x:row>
    <x:row r="16">
      <x:c r="A16" s="1" t="str">
        <x:v>Constraint</x:v>
      </x:c>
      <x:c r="B16" s="1" t="str">
        <x:v>Maximum Seats</x:v>
      </x:c>
      <x:c r="C16" s="1" t="str">
        <x:v>8</x:v>
      </x:c>
      <x:c r="D16" s="1" t="str">
        <x:v>Boundary</x:v>
      </x:c>
      <x:c r="E16" s="1" t="str">
        <x:v>Reject 9</x:v>
      </x:c>
      <x:c r="F16" s="1" t="str">
        <x:v>Per session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2412f4778ca4f1d"/>
  </x:tableParts>
</x:worksheet>
</file>